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dd-mm-yyyy"/>
    <numFmt numFmtId="167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4" fontId="0" fillId="3" borderId="0" pivotButton="0" quotePrefix="0" xfId="0"/>
    <xf numFmtId="167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6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7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8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8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8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8">
        <f>EOMONTH(A2,0)</f>
        <v/>
      </c>
      <c r="G2" s="8">
        <f>EOMONTH(A2,-1)+1</f>
        <v/>
      </c>
      <c r="H2" s="8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8">
        <f>EOMONTH(A3,0)</f>
        <v/>
      </c>
      <c r="G3" s="8">
        <f>EOMONTH(A3,-1)+1</f>
        <v/>
      </c>
      <c r="H3" s="8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8">
        <f>EOMONTH(A4,0)</f>
        <v/>
      </c>
      <c r="G4" s="8">
        <f>EOMONTH(A4,-1)+1</f>
        <v/>
      </c>
      <c r="H4" s="8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8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8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8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9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0">
        <f>TIME(INT(A2/100),MOD(A2,100),0)</f>
        <v/>
      </c>
      <c r="E2" s="7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0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0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0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0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1" t="inlineStr">
        <is>
          <t>Total</t>
        </is>
      </c>
      <c r="B6" s="11">
        <f>SUM(B2:B5)</f>
        <v/>
      </c>
      <c r="C6" s="11">
        <f>SUM(C2:C5)</f>
        <v/>
      </c>
      <c r="D6" s="11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2" t="n">
        <v>0.18</v>
      </c>
    </row>
    <row r="2">
      <c r="A2" t="n">
        <v>4</v>
      </c>
      <c r="B2" t="n">
        <v>1250</v>
      </c>
      <c r="C2">
        <f>A2*B2</f>
        <v/>
      </c>
      <c r="D2" s="13">
        <f>A2*B2*(1+$F$1)</f>
        <v/>
      </c>
    </row>
    <row r="3">
      <c r="A3" t="n">
        <v>10</v>
      </c>
      <c r="B3" t="n">
        <v>299</v>
      </c>
      <c r="C3">
        <f>A3*B3</f>
        <v/>
      </c>
      <c r="D3" s="13">
        <f>A3*B3*(1+$F$1)</f>
        <v/>
      </c>
    </row>
    <row r="4">
      <c r="A4" t="n">
        <v>2</v>
      </c>
      <c r="B4" t="n">
        <v>8999</v>
      </c>
      <c r="C4">
        <f>A4*B4</f>
        <v/>
      </c>
      <c r="D4" s="13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