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Two-way lookup of a share pr" sheetId="10" state="visible" r:id="rId10"/>
    <sheet xmlns:r="http://schemas.openxmlformats.org/officeDocument/2006/relationships" name="9. Consolidation tasks state fr" sheetId="11" state="visible" r:id="rId11"/>
    <sheet xmlns:r="http://schemas.openxmlformats.org/officeDocument/2006/relationships" name="10. CHOOSE exampl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Date</t>
        </is>
      </c>
      <c r="B1" s="3" t="inlineStr">
        <is>
          <t>Asha Foods</t>
        </is>
      </c>
      <c r="C1" s="3" t="inlineStr">
        <is>
          <t>Kiran Motors</t>
        </is>
      </c>
      <c r="D1" s="3" t="inlineStr">
        <is>
          <t>Meru Steel</t>
        </is>
      </c>
      <c r="F1" s="3" t="inlineStr">
        <is>
          <t>Company</t>
        </is>
      </c>
      <c r="G1" s="3" t="inlineStr">
        <is>
          <t>Date</t>
        </is>
      </c>
      <c r="H1" s="3" t="inlineStr">
        <is>
          <t>INDEX + MATCH</t>
        </is>
      </c>
      <c r="I1" s="3" t="inlineStr">
        <is>
          <t>OFFSET + MATCH</t>
        </is>
      </c>
    </row>
    <row r="2">
      <c r="A2" s="7" t="n">
        <v>46053</v>
      </c>
      <c r="B2" t="n">
        <v>412</v>
      </c>
      <c r="C2" t="n">
        <v>1180</v>
      </c>
      <c r="D2" t="n">
        <v>96</v>
      </c>
      <c r="F2" t="inlineStr">
        <is>
          <t>Kiran Motors</t>
        </is>
      </c>
      <c r="G2" s="7" t="n">
        <v>46112</v>
      </c>
      <c r="H2">
        <f>INDEX($B$2:$D$6,MATCH(G2,$A$2:$A$6,0),MATCH(F2,$B$1:$D$1,0))</f>
        <v/>
      </c>
      <c r="I2">
        <f>OFFSET($A$1,MATCH(G2,$A$2:$A$6,0),MATCH(F2,$B$1:$D$1,0))</f>
        <v/>
      </c>
    </row>
    <row r="3">
      <c r="A3" s="7" t="n">
        <v>46081</v>
      </c>
      <c r="B3" t="n">
        <v>398</v>
      </c>
      <c r="C3" t="n">
        <v>1215</v>
      </c>
      <c r="D3" t="n">
        <v>101</v>
      </c>
      <c r="F3" t="inlineStr">
        <is>
          <t>Meru Steel</t>
        </is>
      </c>
      <c r="G3" s="7" t="n">
        <v>46173</v>
      </c>
      <c r="H3">
        <f>INDEX($B$2:$D$6,MATCH(G3,$A$2:$A$6,0),MATCH(F3,$B$1:$D$1,0))</f>
        <v/>
      </c>
      <c r="I3">
        <f>OFFSET($A$1,MATCH(G3,$A$2:$A$6,0),MATCH(F3,$B$1:$D$1,0))</f>
        <v/>
      </c>
    </row>
    <row r="4">
      <c r="A4" s="7" t="n">
        <v>46112</v>
      </c>
      <c r="B4" t="n">
        <v>425</v>
      </c>
      <c r="C4" t="n">
        <v>1262</v>
      </c>
      <c r="D4" t="n">
        <v>99</v>
      </c>
      <c r="F4" t="inlineStr">
        <is>
          <t>Asha Foods</t>
        </is>
      </c>
      <c r="G4" s="7" t="n">
        <v>46081</v>
      </c>
      <c r="H4">
        <f>INDEX($B$2:$D$6,MATCH(G4,$A$2:$A$6,0),MATCH(F4,$B$1:$D$1,0))</f>
        <v/>
      </c>
      <c r="I4">
        <f>OFFSET($A$1,MATCH(G4,$A$2:$A$6,0),MATCH(F4,$B$1:$D$1,0))</f>
        <v/>
      </c>
    </row>
    <row r="5">
      <c r="A5" s="7" t="n">
        <v>46142</v>
      </c>
      <c r="B5" t="n">
        <v>440</v>
      </c>
      <c r="C5" t="n">
        <v>1240</v>
      </c>
      <c r="D5" t="n">
        <v>108</v>
      </c>
      <c r="H5" s="3" t="inlineStr">
        <is>
          <t>Last 3 months avg (Asha)</t>
        </is>
      </c>
      <c r="I5">
        <f>AVERAGE(OFFSET($B$1,COUNT($B$2:$B$6)-2,0,3,1))</f>
        <v/>
      </c>
    </row>
    <row r="6">
      <c r="A6" s="7" t="n">
        <v>46173</v>
      </c>
      <c r="B6" t="n">
        <v>436</v>
      </c>
      <c r="C6" t="n">
        <v>1298</v>
      </c>
      <c r="D6" t="n">
        <v>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City Code</t>
        </is>
      </c>
      <c r="B1" s="3" t="inlineStr">
        <is>
          <t>City</t>
        </is>
      </c>
      <c r="C1" s="3" t="inlineStr">
        <is>
          <t>State</t>
        </is>
      </c>
      <c r="D1" s="3" t="inlineStr">
        <is>
          <t>Population 2011 (mn)</t>
        </is>
      </c>
      <c r="F1" s="3" t="inlineStr">
        <is>
          <t>Task</t>
        </is>
      </c>
      <c r="G1" s="3" t="inlineStr">
        <is>
          <t>Input</t>
        </is>
      </c>
      <c r="H1" s="3" t="inlineStr">
        <is>
          <t>Answer</t>
        </is>
      </c>
    </row>
    <row r="2">
      <c r="A2" t="inlineStr">
        <is>
          <t>C1</t>
        </is>
      </c>
      <c r="B2" t="inlineStr">
        <is>
          <t>Mumbai</t>
        </is>
      </c>
      <c r="C2" t="inlineStr">
        <is>
          <t>Maharashtra</t>
        </is>
      </c>
      <c r="D2" t="n">
        <v>12.48</v>
      </c>
      <c r="F2" t="inlineStr">
        <is>
          <t>State of this city</t>
        </is>
      </c>
      <c r="G2" t="inlineStr">
        <is>
          <t>Pune</t>
        </is>
      </c>
      <c r="H2">
        <f>_xlfn.IFNA(INDEX($C$2:$C$7,MATCH(G2,$B$2:$B$7,0)),"Not found")</f>
        <v/>
      </c>
    </row>
    <row r="3">
      <c r="A3" t="inlineStr">
        <is>
          <t>C2</t>
        </is>
      </c>
      <c r="B3" t="inlineStr">
        <is>
          <t>Delhi</t>
        </is>
      </c>
      <c r="C3" t="inlineStr">
        <is>
          <t>Delhi</t>
        </is>
      </c>
      <c r="D3" t="n">
        <v>11.01</v>
      </c>
      <c r="F3" t="inlineStr">
        <is>
          <t>Population of city code</t>
        </is>
      </c>
      <c r="G3" t="inlineStr">
        <is>
          <t>C31</t>
        </is>
      </c>
      <c r="H3">
        <f>_xlfn.IFNA(INDEX($D$2:$D$7,MATCH(G3,$A$2:$A$7,0)),"Not found")</f>
        <v/>
      </c>
    </row>
    <row r="4">
      <c r="A4" t="inlineStr">
        <is>
          <t>C3</t>
        </is>
      </c>
      <c r="B4" t="inlineStr">
        <is>
          <t>Ahmedabad</t>
        </is>
      </c>
      <c r="C4" t="inlineStr">
        <is>
          <t>Gujarat</t>
        </is>
      </c>
      <c r="D4" t="n">
        <v>5.57</v>
      </c>
      <c r="F4" t="inlineStr">
        <is>
          <t>Population of city code</t>
        </is>
      </c>
      <c r="G4" t="inlineStr">
        <is>
          <t>C4</t>
        </is>
      </c>
      <c r="H4">
        <f>_xlfn.IFNA(INDEX($D$2:$D$7,MATCH(G4,$A$2:$A$7,0)),"Not found")</f>
        <v/>
      </c>
    </row>
    <row r="5">
      <c r="A5" t="inlineStr">
        <is>
          <t>C4</t>
        </is>
      </c>
      <c r="B5" t="inlineStr">
        <is>
          <t>Surat</t>
        </is>
      </c>
      <c r="C5" t="inlineStr">
        <is>
          <t>Gujarat</t>
        </is>
      </c>
      <c r="D5" t="n">
        <v>4.47</v>
      </c>
      <c r="F5" t="inlineStr">
        <is>
          <t>City code of this city</t>
        </is>
      </c>
      <c r="G5" t="inlineStr">
        <is>
          <t>Allahabad</t>
        </is>
      </c>
      <c r="H5">
        <f>_xlfn.IFNA(INDEX($A$2:$A$7,MATCH(G5,$B$2:$B$7,0)),"Not found")</f>
        <v/>
      </c>
    </row>
    <row r="6">
      <c r="A6" t="inlineStr">
        <is>
          <t>C31</t>
        </is>
      </c>
      <c r="B6" t="inlineStr">
        <is>
          <t>Allahabad</t>
        </is>
      </c>
      <c r="C6" t="inlineStr">
        <is>
          <t>Uttar Pradesh</t>
        </is>
      </c>
      <c r="D6" t="n">
        <v>1.11</v>
      </c>
    </row>
    <row r="7">
      <c r="A7" t="inlineStr">
        <is>
          <t>C21</t>
        </is>
      </c>
      <c r="B7" t="inlineStr">
        <is>
          <t>Pune</t>
        </is>
      </c>
      <c r="C7" t="inlineStr">
        <is>
          <t>Maharashtra</t>
        </is>
      </c>
      <c r="D7" t="n">
        <v>3.12</v>
      </c>
      <c r="F7" s="3" t="inlineStr">
        <is>
          <t>Marks</t>
        </is>
      </c>
      <c r="G7" s="3" t="inlineStr">
        <is>
          <t>Grade (approx. match)</t>
        </is>
      </c>
    </row>
    <row r="8">
      <c r="F8" t="n">
        <v>0</v>
      </c>
      <c r="G8">
        <f>VLOOKUP(F8,$F$12:$G$15,2,TRUE)</f>
        <v/>
      </c>
    </row>
    <row r="9">
      <c r="F9" t="n">
        <v>58</v>
      </c>
      <c r="G9">
        <f>VLOOKUP(F9,$F$12:$G$15,2,TRUE)</f>
        <v/>
      </c>
    </row>
    <row r="10">
      <c r="F10" t="n">
        <v>91</v>
      </c>
      <c r="G10">
        <f>VLOOKUP(F10,$F$12:$G$15,2,TRUE)</f>
        <v/>
      </c>
    </row>
    <row r="11">
      <c r="F11" s="3" t="inlineStr">
        <is>
          <t>Min marks</t>
        </is>
      </c>
      <c r="G11" s="3" t="inlineStr">
        <is>
          <t>Grade</t>
        </is>
      </c>
    </row>
    <row r="12">
      <c r="F12" t="n">
        <v>0</v>
      </c>
      <c r="G12" t="inlineStr">
        <is>
          <t>D</t>
        </is>
      </c>
    </row>
    <row r="13">
      <c r="F13" t="n">
        <v>40</v>
      </c>
      <c r="G13" t="inlineStr">
        <is>
          <t>C</t>
        </is>
      </c>
    </row>
    <row r="14">
      <c r="F14" t="n">
        <v>60</v>
      </c>
      <c r="G14" t="inlineStr">
        <is>
          <t>B</t>
        </is>
      </c>
    </row>
    <row r="15">
      <c r="F15" t="n">
        <v>80</v>
      </c>
      <c r="G15" t="inlineStr">
        <is>
          <t>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