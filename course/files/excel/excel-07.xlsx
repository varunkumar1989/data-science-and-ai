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" sheetId="2" state="visible" r:id="rId2"/>
    <sheet xmlns:r="http://schemas.openxmlformats.org/officeDocument/2006/relationships" name="1. Prod product lookup table (A" sheetId="3" state="visible" r:id="rId3"/>
    <sheet xmlns:r="http://schemas.openxmlformats.org/officeDocument/2006/relationships" name="2. Order lines looking up produ" sheetId="4" state="visible" r:id="rId4"/>
    <sheet xmlns:r="http://schemas.openxmlformats.org/officeDocument/2006/relationships" name="3. Approximate match for commis" sheetId="5" state="visible" r:id="rId5"/>
    <sheet xmlns:r="http://schemas.openxmlformats.org/officeDocument/2006/relationships" name="4. HLOOKUP across a horizontal " sheetId="6" state="visible" r:id="rId6"/>
    <sheet xmlns:r="http://schemas.openxmlformats.org/officeDocument/2006/relationships" name="5. XLOOKUP examples (lookup tab" sheetId="7" state="visible" r:id="rId7"/>
    <sheet xmlns:r="http://schemas.openxmlformats.org/officeDocument/2006/relationships" name="6. INDEX returns a value at a p" sheetId="8" state="visible" r:id="rId8"/>
    <sheet xmlns:r="http://schemas.openxmlformats.org/officeDocument/2006/relationships" name="7. Two-way lookup =INDEX($B$2$E" sheetId="9" state="visible" r:id="rId9"/>
    <sheet xmlns:r="http://schemas.openxmlformats.org/officeDocument/2006/relationships" name="8. CHOOSE examp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7: Lookup Functions: VLOOKUP, XLOOKUP and INDEX-MATCH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P101</t>
        </is>
      </c>
      <c r="B2" t="inlineStr">
        <is>
          <t>Office Chair</t>
        </is>
      </c>
      <c r="C2" t="inlineStr">
        <is>
          <t>Furniture</t>
        </is>
      </c>
      <c r="D2" t="n">
        <v>4500</v>
      </c>
      <c r="E2" t="n">
        <v>32</v>
      </c>
    </row>
    <row r="3">
      <c r="A3" t="inlineStr">
        <is>
          <t>P102</t>
        </is>
      </c>
      <c r="B3" t="inlineStr">
        <is>
          <t>Standing Desk</t>
        </is>
      </c>
      <c r="C3" t="inlineStr">
        <is>
          <t>Furniture</t>
        </is>
      </c>
      <c r="D3" t="n">
        <v>18500</v>
      </c>
      <c r="E3" t="n">
        <v>8</v>
      </c>
    </row>
    <row r="4">
      <c r="A4" t="inlineStr">
        <is>
          <t>P103</t>
        </is>
      </c>
      <c r="B4" t="inlineStr">
        <is>
          <t>Laser Printer</t>
        </is>
      </c>
      <c r="C4" t="inlineStr">
        <is>
          <t>Technology</t>
        </is>
      </c>
      <c r="D4" t="n">
        <v>12900</v>
      </c>
      <c r="E4" t="n">
        <v>15</v>
      </c>
    </row>
    <row r="5">
      <c r="A5" t="inlineStr">
        <is>
          <t>P104</t>
        </is>
      </c>
      <c r="B5" t="inlineStr">
        <is>
          <t>Notebook Pack</t>
        </is>
      </c>
      <c r="C5" t="inlineStr">
        <is>
          <t>Office Supplies</t>
        </is>
      </c>
      <c r="D5" t="n">
        <v>240</v>
      </c>
      <c r="E5" t="n">
        <v>540</v>
      </c>
    </row>
    <row r="6">
      <c r="A6" t="inlineStr">
        <is>
          <t>P105</t>
        </is>
      </c>
      <c r="B6" t="inlineStr">
        <is>
          <t>Smartphone</t>
        </is>
      </c>
      <c r="C6" t="inlineStr">
        <is>
          <t>Technology</t>
        </is>
      </c>
      <c r="D6" t="n">
        <v>21999</v>
      </c>
      <c r="E6" t="n">
        <v>27</v>
      </c>
    </row>
    <row r="7">
      <c r="A7" t="inlineStr">
        <is>
          <t>P106</t>
        </is>
      </c>
      <c r="B7" t="inlineStr">
        <is>
          <t>Bookcase</t>
        </is>
      </c>
      <c r="C7" t="inlineStr">
        <is>
          <t>Furniture</t>
        </is>
      </c>
      <c r="D7" t="n">
        <v>7600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Product ID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</row>
    <row r="2">
      <c r="A2" t="inlineStr">
        <is>
          <t>P101</t>
        </is>
      </c>
      <c r="B2" t="inlineStr">
        <is>
          <t>Office Chair</t>
        </is>
      </c>
      <c r="C2" t="inlineStr">
        <is>
          <t>Furniture</t>
        </is>
      </c>
      <c r="D2" t="n">
        <v>4500</v>
      </c>
      <c r="E2" t="n">
        <v>32</v>
      </c>
    </row>
    <row r="3">
      <c r="A3" t="inlineStr">
        <is>
          <t>P102</t>
        </is>
      </c>
      <c r="B3" t="inlineStr">
        <is>
          <t>Standing Desk</t>
        </is>
      </c>
      <c r="C3" t="inlineStr">
        <is>
          <t>Furniture</t>
        </is>
      </c>
      <c r="D3" t="n">
        <v>18500</v>
      </c>
      <c r="E3" t="n">
        <v>8</v>
      </c>
    </row>
    <row r="4">
      <c r="A4" t="inlineStr">
        <is>
          <t>P103</t>
        </is>
      </c>
      <c r="B4" t="inlineStr">
        <is>
          <t>Laser Printer</t>
        </is>
      </c>
      <c r="C4" t="inlineStr">
        <is>
          <t>Technology</t>
        </is>
      </c>
      <c r="D4" t="n">
        <v>12900</v>
      </c>
      <c r="E4" t="n">
        <v>15</v>
      </c>
    </row>
    <row r="5">
      <c r="A5" t="inlineStr">
        <is>
          <t>P104</t>
        </is>
      </c>
      <c r="B5" t="inlineStr">
        <is>
          <t>Notebook Pack</t>
        </is>
      </c>
      <c r="C5" t="inlineStr">
        <is>
          <t>Office Supplies</t>
        </is>
      </c>
      <c r="D5" t="n">
        <v>240</v>
      </c>
      <c r="E5" t="n">
        <v>540</v>
      </c>
    </row>
    <row r="6">
      <c r="A6" t="inlineStr">
        <is>
          <t>P105</t>
        </is>
      </c>
      <c r="B6" t="inlineStr">
        <is>
          <t>Smartphone</t>
        </is>
      </c>
      <c r="C6" t="inlineStr">
        <is>
          <t>Technology</t>
        </is>
      </c>
      <c r="D6" t="n">
        <v>21999</v>
      </c>
      <c r="E6" t="n">
        <v>27</v>
      </c>
    </row>
    <row r="7">
      <c r="A7" t="inlineStr">
        <is>
          <t>P106</t>
        </is>
      </c>
      <c r="B7" t="inlineStr">
        <is>
          <t>Bookcase</t>
        </is>
      </c>
      <c r="C7" t="inlineStr">
        <is>
          <t>Furniture</t>
        </is>
      </c>
      <c r="D7" t="n">
        <v>7600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Order</t>
        </is>
      </c>
      <c r="B1" s="3" t="inlineStr">
        <is>
          <t>Product ID</t>
        </is>
      </c>
      <c r="C1" s="3" t="inlineStr">
        <is>
          <t>Qty</t>
        </is>
      </c>
      <c r="D1" s="3" t="inlineStr">
        <is>
          <t>Product =VLOOKUP(B2,Prod!$A$2:$E$7,2,FALSE)</t>
        </is>
      </c>
      <c r="E1" s="3" t="inlineStr">
        <is>
          <t>Price</t>
        </is>
      </c>
      <c r="F1" s="3" t="inlineStr">
        <is>
          <t>Amount</t>
        </is>
      </c>
    </row>
    <row r="2">
      <c r="A2" t="n">
        <v>1001</v>
      </c>
      <c r="B2" t="inlineStr">
        <is>
          <t>P103</t>
        </is>
      </c>
      <c r="C2" t="n">
        <v>2</v>
      </c>
      <c r="D2">
        <f>VLOOKUP(B2,Prod!$A$2:$E$7,2,FALSE)</f>
        <v/>
      </c>
      <c r="E2" s="4">
        <f>VLOOKUP(B2,Prod!$A$2:$E$7,4,FALSE)</f>
        <v/>
      </c>
      <c r="F2" s="4">
        <f>C2*E2</f>
        <v/>
      </c>
    </row>
    <row r="3">
      <c r="A3" t="n">
        <v>1002</v>
      </c>
      <c r="B3" t="inlineStr">
        <is>
          <t>P101</t>
        </is>
      </c>
      <c r="C3" t="n">
        <v>6</v>
      </c>
      <c r="D3">
        <f>VLOOKUP(B3,Prod!$A$2:$E$7,2,FALSE)</f>
        <v/>
      </c>
      <c r="E3" s="4">
        <f>VLOOKUP(B3,Prod!$A$2:$E$7,4,FALSE)</f>
        <v/>
      </c>
      <c r="F3" s="4">
        <f>C3*E3</f>
        <v/>
      </c>
    </row>
    <row r="4">
      <c r="A4" t="n">
        <v>1003</v>
      </c>
      <c r="B4" t="inlineStr">
        <is>
          <t>P105</t>
        </is>
      </c>
      <c r="C4" t="n">
        <v>1</v>
      </c>
      <c r="D4">
        <f>VLOOKUP(B4,Prod!$A$2:$E$7,2,FALSE)</f>
        <v/>
      </c>
      <c r="E4" s="4">
        <f>VLOOKUP(B4,Prod!$A$2:$E$7,4,FALSE)</f>
        <v/>
      </c>
      <c r="F4" s="4">
        <f>C4*E4</f>
        <v/>
      </c>
    </row>
    <row r="5">
      <c r="A5" t="n">
        <v>1004</v>
      </c>
      <c r="B5" t="inlineStr">
        <is>
          <t>P104</t>
        </is>
      </c>
      <c r="C5" t="n">
        <v>20</v>
      </c>
      <c r="D5">
        <f>VLOOKUP(B5,Prod!$A$2:$E$7,2,FALSE)</f>
        <v/>
      </c>
      <c r="E5" s="4">
        <f>VLOOKUP(B5,Prod!$A$2:$E$7,4,FALSE)</f>
        <v/>
      </c>
      <c r="F5" s="4">
        <f>C5*E5</f>
        <v/>
      </c>
    </row>
    <row r="6">
      <c r="A6" t="n">
        <v>1005</v>
      </c>
      <c r="B6" t="inlineStr">
        <is>
          <t>P109</t>
        </is>
      </c>
      <c r="C6" t="n">
        <v>3</v>
      </c>
      <c r="D6" s="5">
        <f>VLOOKUP(B6,Prod!$A$2:$E$7,2,FALSE)</f>
        <v/>
      </c>
      <c r="E6" s="5">
        <f>VLOOKUP(B6,Prod!$A$2:$E$7,4,FALSE)</f>
        <v/>
      </c>
      <c r="F6" s="5">
        <f>C6*E6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Sales from</t>
        </is>
      </c>
      <c r="B1" s="3" t="inlineStr">
        <is>
          <t>Commission</t>
        </is>
      </c>
      <c r="D1" s="3" t="inlineStr">
        <is>
          <t>Rep</t>
        </is>
      </c>
      <c r="E1" s="3" t="inlineStr">
        <is>
          <t>Sales</t>
        </is>
      </c>
      <c r="F1" s="3" t="inlineStr">
        <is>
          <t>Rate</t>
        </is>
      </c>
      <c r="G1" s="3" t="inlineStr">
        <is>
          <t>Commission</t>
        </is>
      </c>
    </row>
    <row r="2">
      <c r="A2" t="n">
        <v>0</v>
      </c>
      <c r="B2" s="6" t="n">
        <v>0</v>
      </c>
      <c r="D2" t="inlineStr">
        <is>
          <t>Asha</t>
        </is>
      </c>
      <c r="E2" s="4" t="n">
        <v>85000</v>
      </c>
      <c r="F2" s="6">
        <f>VLOOKUP(E2,$A$2:$B$6,2,TRUE)</f>
        <v/>
      </c>
      <c r="G2" s="4">
        <f>E2*F2</f>
        <v/>
      </c>
    </row>
    <row r="3">
      <c r="A3" t="n">
        <v>100000</v>
      </c>
      <c r="B3" s="6" t="n">
        <v>0.03</v>
      </c>
      <c r="D3" t="inlineStr">
        <is>
          <t>Ravi</t>
        </is>
      </c>
      <c r="E3" s="4" t="n">
        <v>240000</v>
      </c>
      <c r="F3" s="6">
        <f>VLOOKUP(E3,$A$2:$B$6,2,TRUE)</f>
        <v/>
      </c>
      <c r="G3" s="4">
        <f>E3*F3</f>
        <v/>
      </c>
    </row>
    <row r="4">
      <c r="A4" t="n">
        <v>250000</v>
      </c>
      <c r="B4" s="6" t="n">
        <v>0.05</v>
      </c>
      <c r="D4" t="inlineStr">
        <is>
          <t>Meera</t>
        </is>
      </c>
      <c r="E4" s="4" t="n">
        <v>250000</v>
      </c>
      <c r="F4" s="6">
        <f>VLOOKUP(E4,$A$2:$B$6,2,TRUE)</f>
        <v/>
      </c>
      <c r="G4" s="4">
        <f>E4*F4</f>
        <v/>
      </c>
    </row>
    <row r="5">
      <c r="A5" t="n">
        <v>500000</v>
      </c>
      <c r="B5" s="6" t="n">
        <v>0.07000000000000001</v>
      </c>
      <c r="D5" t="inlineStr">
        <is>
          <t>Kabir</t>
        </is>
      </c>
      <c r="E5" s="4" t="n">
        <v>610000</v>
      </c>
      <c r="F5" s="6">
        <f>VLOOKUP(E5,$A$2:$B$6,2,TRUE)</f>
        <v/>
      </c>
      <c r="G5" s="4">
        <f>E5*F5</f>
        <v/>
      </c>
    </row>
    <row r="6">
      <c r="A6" t="n">
        <v>1000000</v>
      </c>
      <c r="B6" s="6" t="n">
        <v>0.1</v>
      </c>
      <c r="D6" t="inlineStr">
        <is>
          <t>Zoya</t>
        </is>
      </c>
      <c r="E6" s="4" t="n">
        <v>1200000</v>
      </c>
      <c r="F6" s="6">
        <f>VLOOKUP(E6,$A$2:$B$6,2,TRUE)</f>
        <v/>
      </c>
      <c r="G6" s="4">
        <f>E6*F6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Month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G1" s="3" t="inlineStr">
        <is>
          <t>Find month</t>
        </is>
      </c>
      <c r="H1" t="inlineStr">
        <is>
          <t>Mar</t>
        </is>
      </c>
    </row>
    <row r="2">
      <c r="A2" t="inlineStr">
        <is>
          <t>Target</t>
        </is>
      </c>
      <c r="B2" t="n">
        <v>120</v>
      </c>
      <c r="C2" t="n">
        <v>130</v>
      </c>
      <c r="D2" t="n">
        <v>145</v>
      </c>
      <c r="E2" t="n">
        <v>150</v>
      </c>
      <c r="G2" t="inlineStr">
        <is>
          <t>Target →</t>
        </is>
      </c>
      <c r="H2">
        <f>HLOOKUP(H1,$A$1:$E$3,2,FALSE)</f>
        <v/>
      </c>
    </row>
    <row r="3">
      <c r="A3" t="inlineStr">
        <is>
          <t>Actual</t>
        </is>
      </c>
      <c r="B3" t="n">
        <v>118</v>
      </c>
      <c r="C3" t="n">
        <v>136</v>
      </c>
      <c r="D3" t="n">
        <v>139</v>
      </c>
      <c r="E3" t="n">
        <v>162</v>
      </c>
      <c r="G3" t="inlineStr">
        <is>
          <t>Actual →</t>
        </is>
      </c>
      <c r="H3">
        <f>HLOOKUP(H1,$A$1:$E$3,3,FALSE)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Need</t>
        </is>
      </c>
      <c r="B1" s="3" t="inlineStr">
        <is>
          <t>Formula</t>
        </is>
      </c>
      <c r="C1" s="3" t="inlineStr">
        <is>
          <t>Result</t>
        </is>
      </c>
    </row>
    <row r="2">
      <c r="A2" t="inlineStr">
        <is>
          <t>Price of P105</t>
        </is>
      </c>
      <c r="B2">
        <f>XLOOKUP("P105",Prod!A2:A7,Prod!D2:D7)</f>
        <v/>
      </c>
      <c r="C2">
        <f>_xlfn.XLOOKUP("P105",Prod!A2:A7,Prod!D2:D7)</f>
        <v/>
      </c>
    </row>
    <row r="3">
      <c r="A3" t="inlineStr">
        <is>
          <t>ID of "Bookcase" (left lookup)</t>
        </is>
      </c>
      <c r="B3">
        <f>XLOOKUP("Bookcase",Prod!B2:B7,Prod!A2:A7)</f>
        <v/>
      </c>
      <c r="C3">
        <f>_xlfn.XLOOKUP("Bookcase",Prod!B2:B7,Prod!A2:A7)</f>
        <v/>
      </c>
    </row>
    <row r="4">
      <c r="A4" t="inlineStr">
        <is>
          <t>Missing ID with a message</t>
        </is>
      </c>
      <c r="B4">
        <f>XLOOKUP("P109",Prod!A2:A7,Prod!B2:B7,"Not found")</f>
        <v/>
      </c>
      <c r="C4">
        <f>_xlfn.XLOOKUP("P109",Prod!A2:A7,Prod!B2:B7,"Not found")</f>
        <v/>
      </c>
    </row>
    <row r="5">
      <c r="A5" t="inlineStr">
        <is>
          <t>Product, category and price at once</t>
        </is>
      </c>
      <c r="B5">
        <f>XLOOKUP("P103",Prod!A2:A7,Prod!B2:D7)</f>
        <v/>
      </c>
      <c r="C5">
        <f>_xlfn.XLOOKUP("P103",Prod!A2:A7,Prod!B2:D7)</f>
        <v/>
      </c>
    </row>
    <row r="6">
      <c r="A6" t="inlineStr">
        <is>
          <t>Last Furniture item in the list</t>
        </is>
      </c>
      <c r="B6">
        <f>XLOOKUP("Furniture",Prod!C2:C7,Prod!B2:B7,,0,-1)</f>
        <v/>
      </c>
      <c r="C6">
        <f>_xlfn.XLOOKUP("Furniture",Prod!C2:C7,Prod!B2:B7,,0,-1)</f>
        <v/>
      </c>
    </row>
    <row r="7">
      <c r="A7" t="inlineStr">
        <is>
          <t>Product name containing "Desk"</t>
        </is>
      </c>
      <c r="B7">
        <f>XLOOKUP("*Desk*",Prod!B2:B7,Prod!D2:D7,,2)</f>
        <v/>
      </c>
      <c r="C7">
        <f>_xlfn.XLOOKUP("*Desk*",Prod!B2:B7,Prod!D2:D7,,2)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Population 2011 (mn)</t>
        </is>
      </c>
      <c r="E1" s="3" t="inlineStr">
        <is>
          <t>Formula</t>
        </is>
      </c>
      <c r="F1" s="3" t="inlineStr">
        <is>
          <t>Result</t>
        </is>
      </c>
    </row>
    <row r="2">
      <c r="A2" t="inlineStr">
        <is>
          <t>Maharashtra</t>
        </is>
      </c>
      <c r="B2" t="inlineStr">
        <is>
          <t>Mumbai</t>
        </is>
      </c>
      <c r="C2" t="n">
        <v>18.4</v>
      </c>
      <c r="E2">
        <f>INDEX(A2:C6,2,1)</f>
        <v/>
      </c>
      <c r="F2">
        <f>INDEX(A2:C6,2,1)</f>
        <v/>
      </c>
    </row>
    <row r="3">
      <c r="A3" t="inlineStr">
        <is>
          <t>Delhi</t>
        </is>
      </c>
      <c r="B3" t="inlineStr">
        <is>
          <t>Delhi</t>
        </is>
      </c>
      <c r="C3" t="n">
        <v>16.3</v>
      </c>
      <c r="E3">
        <f>MATCH("Ahmedabad",B2:B6,0)</f>
        <v/>
      </c>
      <c r="F3">
        <f>MATCH("Ahmedabad",B2:B6,0)</f>
        <v/>
      </c>
    </row>
    <row r="4">
      <c r="A4" t="inlineStr">
        <is>
          <t>Gujarat</t>
        </is>
      </c>
      <c r="B4" t="inlineStr">
        <is>
          <t>Ahmedabad</t>
        </is>
      </c>
      <c r="C4" t="n">
        <v>6.4</v>
      </c>
      <c r="E4">
        <f>MATCH("Population 2011 (mn)",A1:C1,0)</f>
        <v/>
      </c>
      <c r="F4">
        <f>MATCH("Population 2011 (mn)",A1:C1,0)</f>
        <v/>
      </c>
    </row>
    <row r="5">
      <c r="A5" t="inlineStr">
        <is>
          <t>West Bengal</t>
        </is>
      </c>
      <c r="B5" t="inlineStr">
        <is>
          <t>Kolkata</t>
        </is>
      </c>
      <c r="C5" t="n">
        <v>14.1</v>
      </c>
      <c r="E5">
        <f>INDEX(C2:C6,MATCH("Kolkata",B2:B6,0))</f>
        <v/>
      </c>
      <c r="F5">
        <f>INDEX(C2:C6,MATCH("Kolkata",B2:B6,0))</f>
        <v/>
      </c>
    </row>
    <row r="6">
      <c r="A6" t="inlineStr">
        <is>
          <t>Karnataka</t>
        </is>
      </c>
      <c r="B6" t="inlineStr">
        <is>
          <t>Bengaluru</t>
        </is>
      </c>
      <c r="C6" t="n">
        <v>8.5</v>
      </c>
      <c r="E6">
        <f>INDEX(A2:A6,MATCH("Ahmedabad",B2:B6,0))</f>
        <v/>
      </c>
      <c r="F6">
        <f>INDEX(A2:A6,MATCH("Ahmedabad",B2:B6,0))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EmpName</t>
        </is>
      </c>
      <c r="B1" s="3" t="inlineStr">
        <is>
          <t>DepartmentID</t>
        </is>
      </c>
      <c r="C1" s="3" t="inlineStr">
        <is>
          <t>JobTitle</t>
        </is>
      </c>
      <c r="D1" s="3" t="inlineStr">
        <is>
          <t>Salary</t>
        </is>
      </c>
      <c r="E1" s="3" t="inlineStr">
        <is>
          <t>City</t>
        </is>
      </c>
    </row>
    <row r="2">
      <c r="A2" t="inlineStr">
        <is>
          <t>Employee_1</t>
        </is>
      </c>
      <c r="B2" t="inlineStr">
        <is>
          <t>D10</t>
        </is>
      </c>
      <c r="C2" t="inlineStr">
        <is>
          <t>Developer</t>
        </is>
      </c>
      <c r="D2" t="n">
        <v>82000</v>
      </c>
      <c r="E2" t="inlineStr">
        <is>
          <t>Pune</t>
        </is>
      </c>
      <c r="G2" s="3" t="inlineStr">
        <is>
          <t>Employee</t>
        </is>
      </c>
      <c r="H2" s="3" t="inlineStr">
        <is>
          <t>JobTitle</t>
        </is>
      </c>
      <c r="I2" s="3" t="inlineStr">
        <is>
          <t>Salary</t>
        </is>
      </c>
    </row>
    <row r="3">
      <c r="A3" t="inlineStr">
        <is>
          <t>Employee_2</t>
        </is>
      </c>
      <c r="B3" t="inlineStr">
        <is>
          <t>D20</t>
        </is>
      </c>
      <c r="C3" t="inlineStr">
        <is>
          <t>Analyst</t>
        </is>
      </c>
      <c r="D3" t="n">
        <v>68000</v>
      </c>
      <c r="E3" t="inlineStr">
        <is>
          <t>Delhi</t>
        </is>
      </c>
      <c r="G3" t="inlineStr">
        <is>
          <t>Employee_4</t>
        </is>
      </c>
      <c r="H3">
        <f>INDEX($B$2:$E$6,MATCH($G3,$A$2:$A$6,0),MATCH(H$2,$B$1:$E$1,0))</f>
        <v/>
      </c>
      <c r="I3">
        <f>INDEX($B$2:$E$6,MATCH($G3,$A$2:$A$6,0),MATCH(I$2,$B$1:$E$1,0))</f>
        <v/>
      </c>
    </row>
    <row r="4">
      <c r="A4" t="inlineStr">
        <is>
          <t>Employee_3</t>
        </is>
      </c>
      <c r="B4" t="inlineStr">
        <is>
          <t>D10</t>
        </is>
      </c>
      <c r="C4" t="inlineStr">
        <is>
          <t>Tester</t>
        </is>
      </c>
      <c r="D4" t="n">
        <v>54000</v>
      </c>
      <c r="E4" t="inlineStr">
        <is>
          <t>Pune</t>
        </is>
      </c>
      <c r="G4" t="inlineStr">
        <is>
          <t>Employee_2</t>
        </is>
      </c>
      <c r="H4">
        <f>INDEX($B$2:$E$6,MATCH($G4,$A$2:$A$6,0),MATCH(H$2,$B$1:$E$1,0))</f>
        <v/>
      </c>
      <c r="I4">
        <f>INDEX($B$2:$E$6,MATCH($G4,$A$2:$A$6,0),MATCH(I$2,$B$1:$E$1,0))</f>
        <v/>
      </c>
    </row>
    <row r="5">
      <c r="A5" t="inlineStr">
        <is>
          <t>Employee_4</t>
        </is>
      </c>
      <c r="B5" t="inlineStr">
        <is>
          <t>D30</t>
        </is>
      </c>
      <c r="C5" t="inlineStr">
        <is>
          <t>Manager</t>
        </is>
      </c>
      <c r="D5" t="n">
        <v>125000</v>
      </c>
      <c r="E5" t="inlineStr">
        <is>
          <t>Mumbai</t>
        </is>
      </c>
    </row>
    <row r="6">
      <c r="A6" t="inlineStr">
        <is>
          <t>Employee_5</t>
        </is>
      </c>
      <c r="B6" t="inlineStr">
        <is>
          <t>D20</t>
        </is>
      </c>
      <c r="C6" t="inlineStr">
        <is>
          <t>Developer</t>
        </is>
      </c>
      <c r="D6" t="n">
        <v>79000</v>
      </c>
      <c r="E6" t="inlineStr">
        <is>
          <t>Delhi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Input</t>
        </is>
      </c>
      <c r="B1" s="3" t="inlineStr">
        <is>
          <t>Formula</t>
        </is>
      </c>
      <c r="C1" s="3" t="inlineStr">
        <is>
          <t>Result</t>
        </is>
      </c>
    </row>
    <row r="2">
      <c r="A2" t="n">
        <v>2</v>
      </c>
      <c r="B2">
        <f>CHOOSE(A2,"Bronze","Silver","Gold")</f>
        <v/>
      </c>
      <c r="C2">
        <f>CHOOSE(A2,"Bronze","Silver","Gold")</f>
        <v/>
      </c>
    </row>
    <row r="3">
      <c r="A3" s="7" t="n">
        <v>46139</v>
      </c>
      <c r="B3">
        <f>CHOOSE(WEEKDAY(A3,2),"Mon","Tue","Wed","Thu","Fri","Sat","Sun")</f>
        <v/>
      </c>
      <c r="C3">
        <f>CHOOSE(WEEKDAY(A3,2),"Mon","Tue","Wed","Thu","Fri","Sat","Sun")</f>
        <v/>
      </c>
    </row>
    <row r="4">
      <c r="A4" s="7" t="n">
        <v>46249</v>
      </c>
      <c r="B4">
        <f>"Q"&amp;CHOOSE(MONTH(A4),4,4,4,1,1,1,2,2,2,3,3,3)</f>
        <v/>
      </c>
      <c r="C4">
        <f>"Q"&amp;CHOOSE(MONTH(A4),4,4,4,1,1,1,2,2,2,3,3,3)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2026-10-27T07:56:43Z</dcterms:created>
  <dcterms:modified xmlns:dcterms="http://purl.org/dc/terms/" xmlns:xsi="http://www.w3.org/2001/XMLSchema-instance" xsi:type="dcterms:W3CDTF">2026-10-27T07:56:43Z</dcterms:modified>
</cp:coreProperties>
</file>