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Index" sheetId="1" state="visible" r:id="rId1"/>
    <sheet xmlns:r="http://schemas.openxmlformats.org/officeDocument/2006/relationships" name="01 Environment" sheetId="2" state="visible" r:id="rId2"/>
    <sheet xmlns:r="http://schemas.openxmlformats.org/officeDocument/2006/relationships" name="02 References" sheetId="3" state="visible" r:id="rId3"/>
    <sheet xmlns:r="http://schemas.openxmlformats.org/officeDocument/2006/relationships" name="03 Custom Formats" sheetId="4" state="visible" r:id="rId4"/>
    <sheet xmlns:r="http://schemas.openxmlformats.org/officeDocument/2006/relationships" name="04 Number" sheetId="5" state="visible" r:id="rId5"/>
    <sheet xmlns:r="http://schemas.openxmlformats.org/officeDocument/2006/relationships" name="05 Text" sheetId="6" state="visible" r:id="rId6"/>
    <sheet xmlns:r="http://schemas.openxmlformats.org/officeDocument/2006/relationships" name="06 Date &amp; Time" sheetId="7" state="visible" r:id="rId7"/>
    <sheet xmlns:r="http://schemas.openxmlformats.org/officeDocument/2006/relationships" name="07 Aggregate" sheetId="8" state="visible" r:id="rId8"/>
    <sheet xmlns:r="http://schemas.openxmlformats.org/officeDocument/2006/relationships" name="08 Logical" sheetId="9" state="visible" r:id="rId9"/>
    <sheet xmlns:r="http://schemas.openxmlformats.org/officeDocument/2006/relationships" name="09 Lookup" sheetId="10" state="visible" r:id="rId10"/>
    <sheet xmlns:r="http://schemas.openxmlformats.org/officeDocument/2006/relationships" name="10 Conditional Formatting" sheetId="11" state="visible" r:id="rId11"/>
    <sheet xmlns:r="http://schemas.openxmlformats.org/officeDocument/2006/relationships" name="11 Validation" sheetId="12" state="visible" r:id="rId12"/>
    <sheet xmlns:r="http://schemas.openxmlformats.org/officeDocument/2006/relationships" name="12 Sort &amp; Filter" sheetId="13" state="visible" r:id="rId13"/>
    <sheet xmlns:r="http://schemas.openxmlformats.org/officeDocument/2006/relationships" name="13 Pivot" sheetId="14" state="visible" r:id="rId14"/>
    <sheet xmlns:r="http://schemas.openxmlformats.org/officeDocument/2006/relationships" name="14 What-If" sheetId="15" state="visible" r:id="rId15"/>
    <sheet xmlns:r="http://schemas.openxmlformats.org/officeDocument/2006/relationships" name="15 Dynamic Arrays" sheetId="16" state="visible" r:id="rId16"/>
    <sheet xmlns:r="http://schemas.openxmlformats.org/officeDocument/2006/relationships" name="16 Power Query" sheetId="17" state="visible" r:id="rId17"/>
    <sheet xmlns:r="http://schemas.openxmlformats.org/officeDocument/2006/relationships" name="17 Charts" sheetId="18" state="visible" r:id="rId18"/>
    <sheet xmlns:r="http://schemas.openxmlformats.org/officeDocument/2006/relationships" name="18 Dashboard Case Study" sheetId="19" state="visible" r:id="rId19"/>
    <sheet xmlns:r="http://schemas.openxmlformats.org/officeDocument/2006/relationships" name="19 Automation &amp; AI" sheetId="20" state="visible" r:id="rId20"/>
    <sheet xmlns:r="http://schemas.openxmlformats.org/officeDocument/2006/relationships" name="Data" sheetId="21" state="visible" r:id="rId21"/>
    <sheet xmlns:r="http://schemas.openxmlformats.org/officeDocument/2006/relationships" name="Lookups" sheetId="22" state="visible" r:id="rId22"/>
  </sheets>
  <definedNames>
    <definedName name="_xlnm._FilterDatabase" localSheetId="12" hidden="1">'12 Sort &amp; Filter'!$A$5:$E$45</definedName>
    <definedName name="_xlnm._FilterDatabase" localSheetId="20" hidden="1">'Data'!$A$1:$N$401</definedName>
  </definedNames>
  <calcPr calcId="124519" fullCalcOnLoad="1"/>
</workbook>
</file>

<file path=xl/styles.xml><?xml version="1.0" encoding="utf-8"?>
<styleSheet xmlns="http://schemas.openxmlformats.org/spreadsheetml/2006/main">
  <numFmts count="17">
    <numFmt numFmtId="164" formatCode="yyyy-mm-dd"/>
    <numFmt numFmtId="165" formatCode="dd-mmm-yyyy"/>
    <numFmt numFmtId="166" formatCode="[&gt;=10000000]##\,##\,##\,##0;[&gt;=100000]##\,##\,##0;##,##0"/>
    <numFmt numFmtId="167" formatCode="0.0,,&quot;M&quot;"/>
    <numFmt numFmtId="168" formatCode="&quot;₹&quot;#,##0.00"/>
    <numFmt numFmtId="169" formatCode="000"/>
    <numFmt numFmtId="170" formatCode="dd mmm' yyyy"/>
    <numFmt numFmtId="171" formatCode="0 &quot;kg&quot;"/>
    <numFmt numFmtId="172" formatCode="[Color10]▲0%;[Red]▼0%;0%"/>
    <numFmt numFmtId="173" formatCode="#,##0;(#,##0);-"/>
    <numFmt numFmtId="174" formatCode="[&lt;100000]0.00,&quot;k&quot;;0.0,&quot;k&quot;"/>
    <numFmt numFmtId="175" formatCode="0.0%"/>
    <numFmt numFmtId="176" formatCode=";;;"/>
    <numFmt numFmtId="177" formatCode="yyyy-mm-dd h:mm:ss"/>
    <numFmt numFmtId="178" formatCode="dd-mmm-yyyy hh:mm"/>
    <numFmt numFmtId="179" formatCode="mmm-yyyy"/>
    <numFmt numFmtId="180" formatCode="[Color10]▲0.0%;[Red]▼0.0%;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1F3864"/>
      <sz val="12"/>
    </font>
    <font>
      <name val="Arial"/>
      <color rgb="000000FF"/>
      <sz val="10"/>
    </font>
    <font>
      <name val="Arial"/>
      <b val="1"/>
      <color rgb="001F3864"/>
      <sz val="18"/>
    </font>
    <font>
      <name val="Arial"/>
      <b val="1"/>
      <color rgb="001F3864"/>
      <sz val="16"/>
    </font>
    <font>
      <name val="Arial"/>
      <color rgb="000563C1"/>
      <sz val="10"/>
      <u val="single"/>
    </font>
    <font>
      <name val="Consolas"/>
      <color rgb="007A3E00"/>
      <sz val="10"/>
    </font>
    <font>
      <name val="Arial"/>
      <b val="1"/>
      <sz val="10"/>
    </font>
    <font>
      <name val="Arial"/>
      <b val="1"/>
    </font>
    <font>
      <name val="Arial"/>
      <b val="1"/>
      <color rgb="001F3864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1" applyAlignment="1" pivotButton="0" quotePrefix="0" xfId="0">
      <alignment vertical="top" wrapText="1"/>
    </xf>
    <xf numFmtId="0" fontId="2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2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4" fillId="0" borderId="0" pivotButton="0" quotePrefix="0" xfId="0"/>
    <xf numFmtId="9" fontId="5" fillId="3" borderId="0" pivotButton="0" quotePrefix="0" xfId="0"/>
    <xf numFmtId="3" fontId="5" fillId="0" borderId="0" pivotButton="0" quotePrefix="0" xfId="0"/>
    <xf numFmtId="4" fontId="10" fillId="0" borderId="1" applyAlignment="1" pivotButton="0" quotePrefix="0" xfId="0">
      <alignment vertical="top"/>
    </xf>
    <xf numFmtId="0" fontId="5" fillId="0" borderId="0" pivotButton="0" quotePrefix="0" xfId="0"/>
    <xf numFmtId="0" fontId="11" fillId="0" borderId="1" pivotButton="0" quotePrefix="0" xfId="0"/>
    <xf numFmtId="0" fontId="9" fillId="0" borderId="0" pivotButton="0" quotePrefix="0" xfId="0"/>
    <xf numFmtId="3" fontId="11" fillId="0" borderId="1" pivotButton="0" quotePrefix="0" xfId="0"/>
    <xf numFmtId="166" fontId="11" fillId="0" borderId="1" pivotButton="0" quotePrefix="0" xfId="0"/>
    <xf numFmtId="167" fontId="11" fillId="0" borderId="1" pivotButton="0" quotePrefix="0" xfId="0"/>
    <xf numFmtId="168" fontId="11" fillId="0" borderId="1" pivotButton="0" quotePrefix="0" xfId="0"/>
    <xf numFmtId="169" fontId="11" fillId="0" borderId="1" pivotButton="0" quotePrefix="0" xfId="0"/>
    <xf numFmtId="164" fontId="5" fillId="0" borderId="0" pivotButton="0" quotePrefix="0" xfId="0"/>
    <xf numFmtId="170" fontId="11" fillId="0" borderId="1" pivotButton="0" quotePrefix="0" xfId="0"/>
    <xf numFmtId="171" fontId="11" fillId="0" borderId="1" pivotButton="0" quotePrefix="0" xfId="0"/>
    <xf numFmtId="172" fontId="11" fillId="0" borderId="1" pivotButton="0" quotePrefix="0" xfId="0"/>
    <xf numFmtId="173" fontId="11" fillId="0" borderId="1" pivotButton="0" quotePrefix="0" xfId="0"/>
    <xf numFmtId="174" fontId="11" fillId="0" borderId="1" pivotButton="0" quotePrefix="0" xfId="0"/>
    <xf numFmtId="175" fontId="11" fillId="0" borderId="1" pivotButton="0" quotePrefix="0" xfId="0"/>
    <xf numFmtId="176" fontId="11" fillId="0" borderId="1" pivotButton="0" quotePrefix="0" xfId="0"/>
    <xf numFmtId="0" fontId="10" fillId="0" borderId="1" applyAlignment="1" pivotButton="0" quotePrefix="0" xfId="0">
      <alignment vertical="top"/>
    </xf>
    <xf numFmtId="165" fontId="5" fillId="0" borderId="0" pivotButton="0" quotePrefix="0" xfId="0"/>
    <xf numFmtId="178" fontId="5" fillId="0" borderId="0" pivotButton="0" quotePrefix="0" xfId="0"/>
    <xf numFmtId="165" fontId="10" fillId="0" borderId="1" applyAlignment="1" pivotButton="0" quotePrefix="0" xfId="0">
      <alignment vertical="top"/>
    </xf>
    <xf numFmtId="2" fontId="10" fillId="0" borderId="1" applyAlignment="1" pivotButton="0" quotePrefix="0" xfId="0">
      <alignment vertical="top"/>
    </xf>
    <xf numFmtId="0" fontId="5" fillId="3" borderId="0" pivotButton="0" quotePrefix="0" xfId="0"/>
    <xf numFmtId="165" fontId="5" fillId="3" borderId="0" pivotButton="0" quotePrefix="0" xfId="0"/>
    <xf numFmtId="3" fontId="10" fillId="0" borderId="1" applyAlignment="1" pivotButton="0" quotePrefix="0" xfId="0">
      <alignment vertical="top"/>
    </xf>
    <xf numFmtId="1" fontId="10" fillId="0" borderId="1" applyAlignment="1" pivotButton="0" quotePrefix="0" xfId="0">
      <alignment vertical="top"/>
    </xf>
    <xf numFmtId="175" fontId="10" fillId="0" borderId="1" applyAlignment="1" pivotButton="0" quotePrefix="0" xfId="0">
      <alignment vertical="top"/>
    </xf>
    <xf numFmtId="3" fontId="5" fillId="3" borderId="0" pivotButton="0" quotePrefix="0" xfId="0"/>
    <xf numFmtId="9" fontId="10" fillId="0" borderId="1" applyAlignment="1" pivotButton="0" quotePrefix="0" xfId="0">
      <alignment vertical="top"/>
    </xf>
    <xf numFmtId="0" fontId="2" fillId="0" borderId="1" pivotButton="0" quotePrefix="0" xfId="0"/>
    <xf numFmtId="165" fontId="5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9" fontId="5" fillId="0" borderId="1" pivotButton="0" quotePrefix="0" xfId="0"/>
    <xf numFmtId="0" fontId="5" fillId="3" borderId="1" pivotButton="0" quotePrefix="0" xfId="0"/>
    <xf numFmtId="165" fontId="5" fillId="3" borderId="1" pivotButton="0" quotePrefix="0" xfId="0"/>
    <xf numFmtId="165" fontId="2" fillId="0" borderId="0" pivotButton="0" quotePrefix="0" xfId="0"/>
    <xf numFmtId="3" fontId="2" fillId="0" borderId="0" pivotButton="0" quotePrefix="0" xfId="0"/>
    <xf numFmtId="165" fontId="1" fillId="2" borderId="1" applyAlignment="1" pivotButton="0" quotePrefix="0" xfId="0">
      <alignment vertical="top" wrapText="1"/>
    </xf>
    <xf numFmtId="3" fontId="1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0" fontId="5" fillId="3" borderId="0" pivotButton="0" quotePrefix="0" xfId="0"/>
    <xf numFmtId="1" fontId="5" fillId="3" borderId="0" pivotButton="0" quotePrefix="0" xfId="0"/>
    <xf numFmtId="175" fontId="5" fillId="0" borderId="1" pivotButton="0" quotePrefix="0" xfId="0"/>
    <xf numFmtId="17" fontId="13" fillId="0" borderId="1" pivotButton="0" quotePrefix="0" xfId="0"/>
    <xf numFmtId="179" fontId="5" fillId="3" borderId="0" pivotButton="0" quotePrefix="0" xfId="0"/>
    <xf numFmtId="180" fontId="10" fillId="0" borderId="1" applyAlignment="1" pivotButton="0" quotePrefix="0" xfId="0">
      <alignment vertical="top"/>
    </xf>
    <xf numFmtId="0" fontId="12" fillId="0" borderId="0" pivotButton="0" quotePrefix="0" xfId="0"/>
    <xf numFmtId="9" fontId="2" fillId="0" borderId="0" pivotButton="0" quotePrefix="0" xfId="0"/>
    <xf numFmtId="0" fontId="1" fillId="2" borderId="0" pivotButton="0" quotePrefix="0" xfId="0"/>
    <xf numFmtId="9" fontId="5" fillId="0" borderId="0" pivotButton="0" quotePrefix="0" xfId="0"/>
    <xf numFmtId="165" fontId="1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ont>
        <b val="1"/>
      </font>
      <fill>
        <patternFill patternType="solid">
          <fgColor rgb="00FFE699"/>
        </patternFill>
      </fill>
    </dxf>
    <dxf>
      <font>
        <b val="1"/>
        <color rgb="00C00000"/>
      </font>
    </dxf>
    <dxf>
      <font>
        <b val="1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(₹)</a:t>
            </a:r>
          </a:p>
        </rich>
      </tx>
    </title>
    <plotArea>
      <lineChart>
        <grouping val="standard"/>
        <ser>
          <idx val="0"/>
          <order val="0"/>
          <tx>
            <strRef>
              <f>'17 Charts'!B5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'17 Charts'!$A$6:$A$11</f>
            </numRef>
          </cat>
          <val>
            <numRef>
              <f>'17 Charts'!$B$6:$B$11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profit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'17 Charts'!B5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'17 Charts'!$A$6:$A$11</f>
            </numRef>
          </cat>
          <val>
            <numRef>
              <f>'17 Charts'!$B$6:$B$11</f>
            </numRef>
          </val>
        </ser>
        <ser>
          <idx val="1"/>
          <order val="1"/>
          <tx>
            <strRef>
              <f>'17 Charts'!C5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'17 Charts'!$A$6:$A$11</f>
            </numRef>
          </cat>
          <val>
            <numRef>
              <f>'17 Charts'!$C$6:$C$11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'17 Charts'!D5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'17 Charts'!$D$6:$D$11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'17 Charts'!B14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'17 Charts'!$A$15:$A$19</f>
            </numRef>
          </cat>
          <val>
            <numRef>
              <f>'17 Charts'!$B$15:$B$19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Store revenue this month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'18 Dashboard Case Study'!B15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'18 Dashboard Case Study'!$A$16:$A$21</f>
            </numRef>
          </cat>
          <val>
            <numRef>
              <f>'18 Dashboard Case Study'!$B$16:$B$21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mix</a:t>
            </a:r>
          </a:p>
        </rich>
      </tx>
    </title>
    <plotArea>
      <pieChart>
        <varyColors val="1"/>
        <ser>
          <idx val="0"/>
          <order val="0"/>
          <tx>
            <strRef>
              <f>'18 Dashboard Case Study'!B23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'18 Dashboard Case Study'!$A$24:$A$28</f>
            </numRef>
          </cat>
          <val>
            <numRef>
              <f>'18 Dashboard Case Study'!$B$24:$B$28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33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6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21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Environment'!A1" TargetMode="External" Id="rId1"/><Relationship Type="http://schemas.openxmlformats.org/officeDocument/2006/relationships/hyperlink" Target="#'02 References'!A1" TargetMode="External" Id="rId2"/><Relationship Type="http://schemas.openxmlformats.org/officeDocument/2006/relationships/hyperlink" Target="#'03 Custom Formats'!A1" TargetMode="External" Id="rId3"/><Relationship Type="http://schemas.openxmlformats.org/officeDocument/2006/relationships/hyperlink" Target="#'04 Number'!A1" TargetMode="External" Id="rId4"/><Relationship Type="http://schemas.openxmlformats.org/officeDocument/2006/relationships/hyperlink" Target="#'05 Text'!A1" TargetMode="External" Id="rId5"/><Relationship Type="http://schemas.openxmlformats.org/officeDocument/2006/relationships/hyperlink" Target="#'06 Date &amp; Time'!A1" TargetMode="External" Id="rId6"/><Relationship Type="http://schemas.openxmlformats.org/officeDocument/2006/relationships/hyperlink" Target="#'07 Aggregate'!A1" TargetMode="External" Id="rId7"/><Relationship Type="http://schemas.openxmlformats.org/officeDocument/2006/relationships/hyperlink" Target="#'08 Logical'!A1" TargetMode="External" Id="rId8"/><Relationship Type="http://schemas.openxmlformats.org/officeDocument/2006/relationships/hyperlink" Target="#'09 Lookup'!A1" TargetMode="External" Id="rId9"/><Relationship Type="http://schemas.openxmlformats.org/officeDocument/2006/relationships/hyperlink" Target="#'10 Conditional Formatting'!A1" TargetMode="External" Id="rId10"/><Relationship Type="http://schemas.openxmlformats.org/officeDocument/2006/relationships/hyperlink" Target="#'11 Validation'!A1" TargetMode="External" Id="rId11"/><Relationship Type="http://schemas.openxmlformats.org/officeDocument/2006/relationships/hyperlink" Target="#'12 Sort &amp; Filter'!A1" TargetMode="External" Id="rId12"/><Relationship Type="http://schemas.openxmlformats.org/officeDocument/2006/relationships/hyperlink" Target="#'13 Pivot'!A1" TargetMode="External" Id="rId13"/><Relationship Type="http://schemas.openxmlformats.org/officeDocument/2006/relationships/hyperlink" Target="#'14 What-If'!A1" TargetMode="External" Id="rId14"/><Relationship Type="http://schemas.openxmlformats.org/officeDocument/2006/relationships/hyperlink" Target="#'15 Dynamic Arrays'!A1" TargetMode="External" Id="rId15"/><Relationship Type="http://schemas.openxmlformats.org/officeDocument/2006/relationships/hyperlink" Target="#'16 Power Query'!A1" TargetMode="External" Id="rId16"/><Relationship Type="http://schemas.openxmlformats.org/officeDocument/2006/relationships/hyperlink" Target="#'17 Charts'!A1" TargetMode="External" Id="rId17"/><Relationship Type="http://schemas.openxmlformats.org/officeDocument/2006/relationships/hyperlink" Target="#'18 Dashboard Case Study'!A1" TargetMode="External" Id="rId18"/><Relationship Type="http://schemas.openxmlformats.org/officeDocument/2006/relationships/hyperlink" Target="#'19 Automation &amp; AI'!A1" TargetMode="External" Id="rId19"/><Relationship Type="http://schemas.openxmlformats.org/officeDocument/2006/relationships/hyperlink" Target="#'Data'!A1" TargetMode="External" Id="rId20"/><Relationship Type="http://schemas.openxmlformats.org/officeDocument/2006/relationships/hyperlink" Target="#'Lookups'!A1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00 Index'!A1" TargetMode="External" Id="rId1"/><Relationship Type="http://schemas.openxmlformats.org/officeDocument/2006/relationships/drawing" Target="/xl/drawings/drawing1.xm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00 Index'!A1" TargetMode="External" Id="rId1"/><Relationship Type="http://schemas.openxmlformats.org/officeDocument/2006/relationships/drawing" Target="/xl/drawings/drawing2.xm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00 Index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70" customWidth="1" min="3" max="3"/>
    <col width="16" customWidth="1" min="4" max="4"/>
  </cols>
  <sheetData>
    <row r="1">
      <c r="A1" s="1" t="inlineStr">
        <is>
          <t>Excel: Basic to Advanced – practice workbook</t>
        </is>
      </c>
      <c r="B1" s="2" t="n"/>
      <c r="C1" s="2" t="n"/>
      <c r="D1" s="2" t="n"/>
    </row>
    <row r="2" ht="30" customHeight="1">
      <c r="A2" s="3" t="inlineStr">
        <is>
          <t>Companion to the Data Science &amp; AI Handbook (Advanced Excel session and Building Blocks · Class 1). Black bold cells are live formulas; blue cells are inputs you can change. Brown text shows the formula used.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#</t>
        </is>
      </c>
      <c r="B4" s="4" t="inlineStr">
        <is>
          <t>Sheet</t>
        </is>
      </c>
      <c r="C4" s="4" t="inlineStr">
        <is>
          <t>Topic</t>
        </is>
      </c>
      <c r="D4" s="4" t="inlineStr">
        <is>
          <t>Level</t>
        </is>
      </c>
    </row>
    <row r="5">
      <c r="A5" s="5" t="n">
        <v>1</v>
      </c>
      <c r="B5" s="6" t="inlineStr">
        <is>
          <t>01 Environment</t>
        </is>
      </c>
      <c r="C5" s="5" t="inlineStr">
        <is>
          <t>Workbook terms and 24 essential shortcuts</t>
        </is>
      </c>
      <c r="D5" s="5" t="inlineStr">
        <is>
          <t>Basic</t>
        </is>
      </c>
    </row>
    <row r="6">
      <c r="A6" s="5" t="n">
        <v>2</v>
      </c>
      <c r="B6" s="6" t="inlineStr">
        <is>
          <t>02 References</t>
        </is>
      </c>
      <c r="C6" s="5" t="inlineStr">
        <is>
          <t>Relative, absolute, mixed references; GST example; multiplication grid</t>
        </is>
      </c>
      <c r="D6" s="5" t="inlineStr">
        <is>
          <t>Basic</t>
        </is>
      </c>
    </row>
    <row r="7">
      <c r="A7" s="5" t="n">
        <v>3</v>
      </c>
      <c r="B7" s="6" t="inlineStr">
        <is>
          <t>03 Custom Formats</t>
        </is>
      </c>
      <c r="C7" s="5" t="inlineStr">
        <is>
          <t>12 custom number formats incl. Indian lakh, ▲▼, k/M</t>
        </is>
      </c>
      <c r="D7" s="5" t="inlineStr">
        <is>
          <t>Basic</t>
        </is>
      </c>
    </row>
    <row r="8">
      <c r="A8" s="5" t="n">
        <v>4</v>
      </c>
      <c r="B8" s="6" t="inlineStr">
        <is>
          <t>04 Number</t>
        </is>
      </c>
      <c r="C8" s="5" t="inlineStr">
        <is>
          <t>ROUND, ROUNDUP, INT, MOD, ABS, CEILING, SUMPRODUCT…</t>
        </is>
      </c>
      <c r="D8" s="5" t="inlineStr">
        <is>
          <t>Basic</t>
        </is>
      </c>
    </row>
    <row r="9">
      <c r="A9" s="5" t="n">
        <v>5</v>
      </c>
      <c r="B9" s="6" t="inlineStr">
        <is>
          <t>05 Text</t>
        </is>
      </c>
      <c r="C9" s="5" t="inlineStr">
        <is>
          <t>TRIM, PROPER, LEFT/RIGHT/MID, FIND, SUBSTITUTE, TEXTJOIN, masking</t>
        </is>
      </c>
      <c r="D9" s="5" t="inlineStr">
        <is>
          <t>Basic</t>
        </is>
      </c>
    </row>
    <row r="10">
      <c r="A10" s="5" t="n">
        <v>6</v>
      </c>
      <c r="B10" s="6" t="inlineStr">
        <is>
          <t>06 Date &amp; Time</t>
        </is>
      </c>
      <c r="C10" s="5" t="inlineStr">
        <is>
          <t>EOMONTH, EDATE, NETWORKDAYS, WORKDAY, DATEDIF, FY &amp; quarter</t>
        </is>
      </c>
      <c r="D10" s="5" t="inlineStr">
        <is>
          <t>Basic</t>
        </is>
      </c>
    </row>
    <row r="11">
      <c r="A11" s="5" t="n">
        <v>7</v>
      </c>
      <c r="B11" s="6" t="inlineStr">
        <is>
          <t>07 Aggregate</t>
        </is>
      </c>
      <c r="C11" s="5" t="inlineStr">
        <is>
          <t>SUM…STDEV, SUMIFS/COUNTIFS/AVERAGEIFS/MAXIFS, SUBTOTAL, conditional probability</t>
        </is>
      </c>
      <c r="D11" s="5" t="inlineStr">
        <is>
          <t>Intermediate</t>
        </is>
      </c>
    </row>
    <row r="12">
      <c r="A12" s="5" t="n">
        <v>8</v>
      </c>
      <c r="B12" s="6" t="inlineStr">
        <is>
          <t>08 Logical</t>
        </is>
      </c>
      <c r="C12" s="5" t="inlineStr">
        <is>
          <t>IF, nested IF, IFS, SWITCH, AND/OR/NOT, IFERROR, IFNA</t>
        </is>
      </c>
      <c r="D12" s="5" t="inlineStr">
        <is>
          <t>Intermediate</t>
        </is>
      </c>
    </row>
    <row r="13">
      <c r="A13" s="5" t="n">
        <v>9</v>
      </c>
      <c r="B13" s="6" t="inlineStr">
        <is>
          <t>09 Lookup</t>
        </is>
      </c>
      <c r="C13" s="5" t="inlineStr">
        <is>
          <t>VLOOKUP, INDEX/MATCH, CHOOSE, HLOOKUP, slabs, XLOOKUP</t>
        </is>
      </c>
      <c r="D13" s="5" t="inlineStr">
        <is>
          <t>Intermediate</t>
        </is>
      </c>
    </row>
    <row r="14">
      <c r="A14" s="5" t="n">
        <v>10</v>
      </c>
      <c r="B14" s="6" t="inlineStr">
        <is>
          <t>10 Conditional Formatting</t>
        </is>
      </c>
      <c r="C14" s="5" t="inlineStr">
        <is>
          <t>Overdue rows, duplicates, data bars, colour scales, icons; freeze panes</t>
        </is>
      </c>
      <c r="D14" s="5" t="inlineStr">
        <is>
          <t>Intermediate</t>
        </is>
      </c>
    </row>
    <row r="15">
      <c r="A15" s="5" t="n">
        <v>11</v>
      </c>
      <c r="B15" s="6" t="inlineStr">
        <is>
          <t>11 Validation</t>
        </is>
      </c>
      <c r="C15" s="5" t="inlineStr">
        <is>
          <t>Drop-down lists, number/date/length rules, input messages</t>
        </is>
      </c>
      <c r="D15" s="5" t="inlineStr">
        <is>
          <t>Intermediate</t>
        </is>
      </c>
    </row>
    <row r="16">
      <c r="A16" s="5" t="n">
        <v>12</v>
      </c>
      <c r="B16" s="6" t="inlineStr">
        <is>
          <t>12 Sort &amp; Filter</t>
        </is>
      </c>
      <c r="C16" s="5" t="inlineStr">
        <is>
          <t>AutoFilter, multi-level sort, SUBTOTAL, advanced filter</t>
        </is>
      </c>
      <c r="D16" s="5" t="inlineStr">
        <is>
          <t>Intermediate</t>
        </is>
      </c>
    </row>
    <row r="17">
      <c r="A17" s="5" t="n">
        <v>13</v>
      </c>
      <c r="B17" s="6" t="inlineStr">
        <is>
          <t>13 Pivot</t>
        </is>
      </c>
      <c r="C17" s="5" t="inlineStr">
        <is>
          <t>Pivot steps + SUMIFS formula pivot to check results</t>
        </is>
      </c>
      <c r="D17" s="5" t="inlineStr">
        <is>
          <t>Advanced</t>
        </is>
      </c>
    </row>
    <row r="18">
      <c r="A18" s="5" t="n">
        <v>14</v>
      </c>
      <c r="B18" s="6" t="inlineStr">
        <is>
          <t>14 What-If</t>
        </is>
      </c>
      <c r="C18" s="5" t="inlineStr">
        <is>
          <t>PMT/EMI, sensitivity grid, break-even, Goal Seek, scenarios</t>
        </is>
      </c>
      <c r="D18" s="5" t="inlineStr">
        <is>
          <t>Advanced</t>
        </is>
      </c>
    </row>
    <row r="19">
      <c r="A19" s="5" t="n">
        <v>15</v>
      </c>
      <c r="B19" s="6" t="inlineStr">
        <is>
          <t>15 Dynamic Arrays</t>
        </is>
      </c>
      <c r="C19" s="5" t="inlineStr">
        <is>
          <t>UNIQUE, SORT, FILTER, GROUPBY, PIVOTBY, LET, LAMBDA, REGEX, COPILOT, PY</t>
        </is>
      </c>
      <c r="D19" s="5" t="inlineStr">
        <is>
          <t>Advanced (365)</t>
        </is>
      </c>
    </row>
    <row r="20">
      <c r="A20" s="5" t="n">
        <v>16</v>
      </c>
      <c r="B20" s="6" t="inlineStr">
        <is>
          <t>16 Power Query</t>
        </is>
      </c>
      <c r="C20" s="5" t="inlineStr">
        <is>
          <t>11-step repeatable cleaning recipe + M code</t>
        </is>
      </c>
      <c r="D20" s="5" t="inlineStr">
        <is>
          <t>Advanced</t>
        </is>
      </c>
    </row>
    <row r="21">
      <c r="A21" s="5" t="n">
        <v>17</v>
      </c>
      <c r="B21" s="6" t="inlineStr">
        <is>
          <t>17 Charts</t>
        </is>
      </c>
      <c r="C21" s="5" t="inlineStr">
        <is>
          <t>Line, combo (dual axis) and pie charts from live formulas</t>
        </is>
      </c>
      <c r="D21" s="5" t="inlineStr">
        <is>
          <t>Intermediate</t>
        </is>
      </c>
    </row>
    <row r="22">
      <c r="A22" s="5" t="n">
        <v>18</v>
      </c>
      <c r="B22" s="6" t="inlineStr">
        <is>
          <t>18 Dashboard Case Study</t>
        </is>
      </c>
      <c r="C22" s="5" t="inlineStr">
        <is>
          <t>Real-world monthly dashboard: KPIs vs last month, store league, category margins, auto headline</t>
        </is>
      </c>
      <c r="D22" s="5" t="inlineStr">
        <is>
          <t>Case study</t>
        </is>
      </c>
    </row>
    <row r="23">
      <c r="A23" s="5" t="n">
        <v>19</v>
      </c>
      <c r="B23" s="6" t="inlineStr">
        <is>
          <t>19 Automation &amp; AI</t>
        </is>
      </c>
      <c r="C23" s="5" t="inlineStr">
        <is>
          <t>Macros/VBA, Office Scripts, Power Automate, Copilot, Python in Excel</t>
        </is>
      </c>
      <c r="D23" s="5" t="inlineStr">
        <is>
          <t>Advanced</t>
        </is>
      </c>
    </row>
    <row r="24">
      <c r="A24" s="5" t="n">
        <v>20</v>
      </c>
      <c r="B24" s="6" t="inlineStr">
        <is>
          <t>Data</t>
        </is>
      </c>
      <c r="C24" s="5" t="inlineStr">
        <is>
          <t>400 sample orders (generated)</t>
        </is>
      </c>
      <c r="D24" s="5" t="inlineStr">
        <is>
          <t>Data</t>
        </is>
      </c>
    </row>
    <row r="25">
      <c r="A25" s="5" t="n">
        <v>21</v>
      </c>
      <c r="B25" s="6" t="inlineStr">
        <is>
          <t>Lookups</t>
        </is>
      </c>
      <c r="C25" s="5" t="inlineStr">
        <is>
          <t>Products, stores, commission slabs, holidays</t>
        </is>
      </c>
      <c r="D25" s="5" t="inlineStr">
        <is>
          <t>Data</t>
        </is>
      </c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7" t="inlineStr">
        <is>
          <t>Sources for 2025–26 features: Microsoft Excel blog; Excel Campus '17 New Excel Updates from 2025'. Sample data is fictional.</t>
        </is>
      </c>
      <c r="B28" s="2" t="n"/>
      <c r="C28" s="2" t="n"/>
      <c r="D28" s="2" t="n"/>
    </row>
  </sheetData>
  <mergeCells count="1">
    <mergeCell ref="A2:D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6" customWidth="1" min="3" max="3"/>
    <col width="40" customWidth="1" min="4" max="4"/>
  </cols>
  <sheetData>
    <row r="1">
      <c r="A1" s="8" t="inlineStr">
        <is>
          <t>01 · Excel environment, terminology &amp; shortcuts</t>
        </is>
      </c>
      <c r="B1" s="2" t="n"/>
      <c r="C1" s="2" t="n"/>
      <c r="D1" s="2" t="n"/>
    </row>
    <row r="2" ht="32" customHeight="1">
      <c r="A2" s="3" t="inlineStr">
        <is>
          <t>Building Blocks · Class 1. Learn the vocabulary and the 30 shortcuts that save the most time.</t>
        </is>
      </c>
      <c r="B2" s="2" t="n"/>
      <c r="C2" s="2" t="n"/>
      <c r="D2" s="2" t="n"/>
    </row>
    <row r="3">
      <c r="A3" s="6" t="inlineStr">
        <is>
          <t>← Index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4" t="inlineStr">
        <is>
          <t>Term</t>
        </is>
      </c>
      <c r="B5" s="4" t="inlineStr">
        <is>
          <t>Meaning</t>
        </is>
      </c>
      <c r="C5" s="4" t="inlineStr">
        <is>
          <t>Example</t>
        </is>
      </c>
      <c r="D5" s="4" t="inlineStr">
        <is>
          <t>Tip</t>
        </is>
      </c>
    </row>
    <row r="6">
      <c r="A6" s="9" t="inlineStr">
        <is>
          <t>Workbook</t>
        </is>
      </c>
      <c r="B6" s="9" t="inlineStr">
        <is>
          <t>The .xlsx file containing sheets</t>
        </is>
      </c>
      <c r="C6" s="9" t="inlineStr">
        <is>
          <t>Excel_Basic_to_Advanced.xlsx</t>
        </is>
      </c>
      <c r="D6" s="9" t="inlineStr">
        <is>
          <t>.xlsm if it contains macros</t>
        </is>
      </c>
    </row>
    <row r="7">
      <c r="A7" s="9" t="inlineStr">
        <is>
          <t>Worksheet</t>
        </is>
      </c>
      <c r="B7" s="9" t="inlineStr">
        <is>
          <t>One grid of rows and columns</t>
        </is>
      </c>
      <c r="C7" s="9" t="inlineStr">
        <is>
          <t>Data, Lookups</t>
        </is>
      </c>
      <c r="D7" s="9" t="inlineStr">
        <is>
          <t>Double-click a tab to rename</t>
        </is>
      </c>
    </row>
    <row r="8">
      <c r="A8" s="9" t="inlineStr">
        <is>
          <t>Cell / address</t>
        </is>
      </c>
      <c r="B8" s="9" t="inlineStr">
        <is>
          <t>Intersection of a column and row</t>
        </is>
      </c>
      <c r="C8" s="9" t="inlineStr">
        <is>
          <t>B7</t>
        </is>
      </c>
      <c r="D8" s="9" t="inlineStr">
        <is>
          <t>Name Box shows the active cell</t>
        </is>
      </c>
    </row>
    <row r="9">
      <c r="A9" s="9" t="inlineStr">
        <is>
          <t>Range</t>
        </is>
      </c>
      <c r="B9" s="9" t="inlineStr">
        <is>
          <t>Block of cells</t>
        </is>
      </c>
      <c r="C9" s="9" t="inlineStr">
        <is>
          <t>A1:D20</t>
        </is>
      </c>
      <c r="D9" s="9" t="inlineStr">
        <is>
          <t>Ctrl+Shift+Arrow selects a range</t>
        </is>
      </c>
    </row>
    <row r="10">
      <c r="A10" s="9" t="inlineStr">
        <is>
          <t>Formula</t>
        </is>
      </c>
      <c r="B10" s="9" t="inlineStr">
        <is>
          <t>Starts with = and calculates</t>
        </is>
      </c>
      <c r="C10" s="10" t="inlineStr">
        <is>
          <t>=G2*H2</t>
        </is>
      </c>
      <c r="D10" s="9" t="inlineStr">
        <is>
          <t>Ctrl+` shows all formulas</t>
        </is>
      </c>
    </row>
    <row r="11">
      <c r="A11" s="9" t="inlineStr">
        <is>
          <t>Function</t>
        </is>
      </c>
      <c r="B11" s="9" t="inlineStr">
        <is>
          <t>Built-in named formula</t>
        </is>
      </c>
      <c r="C11" s="10" t="inlineStr">
        <is>
          <t>=SUM(L2:L401)</t>
        </is>
      </c>
      <c r="D11" s="9" t="inlineStr">
        <is>
          <t>Shift+F3 opens Insert Function</t>
        </is>
      </c>
    </row>
    <row r="12">
      <c r="A12" s="9" t="inlineStr">
        <is>
          <t>Argument</t>
        </is>
      </c>
      <c r="B12" s="9" t="inlineStr">
        <is>
          <t>Input to a function</t>
        </is>
      </c>
      <c r="C12" s="9" t="inlineStr">
        <is>
          <t>SUM(number1, number2...)</t>
        </is>
      </c>
      <c r="D12" s="9" t="inlineStr">
        <is>
          <t>Separated by commas</t>
        </is>
      </c>
    </row>
    <row r="13">
      <c r="A13" s="9" t="inlineStr">
        <is>
          <t>Table</t>
        </is>
      </c>
      <c r="B13" s="9" t="inlineStr">
        <is>
          <t>Formatted, auto-expanding range</t>
        </is>
      </c>
      <c r="C13" s="9" t="inlineStr">
        <is>
          <t>Ctrl+T</t>
        </is>
      </c>
      <c r="D13" s="9" t="inlineStr">
        <is>
          <t>Use names like Sales[Amount]</t>
        </is>
      </c>
    </row>
    <row r="14">
      <c r="A14" s="9" t="inlineStr">
        <is>
          <t>Named range</t>
        </is>
      </c>
      <c r="B14" s="9" t="inlineStr">
        <is>
          <t>A friendly name for cells</t>
        </is>
      </c>
      <c r="C14" s="9" t="inlineStr">
        <is>
          <t>GST_Rate</t>
        </is>
      </c>
      <c r="D14" s="9" t="inlineStr">
        <is>
          <t>Formulas → Name Manager</t>
        </is>
      </c>
    </row>
    <row r="15">
      <c r="A15" s="9" t="inlineStr">
        <is>
          <t>Ribbon / QAT</t>
        </is>
      </c>
      <c r="B15" s="9" t="inlineStr">
        <is>
          <t>Command tabs / quick-access toolbar</t>
        </is>
      </c>
      <c r="C15" s="9" t="inlineStr">
        <is>
          <t>Home, Insert, Data…</t>
        </is>
      </c>
      <c r="D15" s="9" t="inlineStr">
        <is>
          <t>Right-click a command → Add to QAT</t>
        </is>
      </c>
    </row>
    <row r="16">
      <c r="A16" s="2" t="n"/>
      <c r="B16" s="2" t="n"/>
      <c r="C16" s="2" t="n"/>
      <c r="D16" s="2" t="n"/>
    </row>
    <row r="17">
      <c r="A17" s="11" t="inlineStr">
        <is>
          <t>Shortcuts</t>
        </is>
      </c>
      <c r="B17" s="2" t="n"/>
      <c r="C17" s="2" t="n"/>
      <c r="D17" s="2" t="n"/>
    </row>
    <row r="18">
      <c r="A18" s="4" t="inlineStr">
        <is>
          <t>Shortcut</t>
        </is>
      </c>
      <c r="B18" s="4" t="inlineStr">
        <is>
          <t>Action</t>
        </is>
      </c>
      <c r="C18" s="4" t="inlineStr">
        <is>
          <t>Shortcut</t>
        </is>
      </c>
      <c r="D18" s="4" t="inlineStr">
        <is>
          <t>Action</t>
        </is>
      </c>
    </row>
    <row r="19">
      <c r="A19" s="9" t="inlineStr">
        <is>
          <t>Ctrl+Arrow</t>
        </is>
      </c>
      <c r="B19" s="9" t="inlineStr">
        <is>
          <t>Jump to edge of data</t>
        </is>
      </c>
      <c r="C19" s="9" t="inlineStr">
        <is>
          <t>Ctrl+1</t>
        </is>
      </c>
      <c r="D19" s="9" t="inlineStr">
        <is>
          <t>Format Cells</t>
        </is>
      </c>
    </row>
    <row r="20">
      <c r="A20" s="9" t="inlineStr">
        <is>
          <t>Ctrl+Shift+Arrow</t>
        </is>
      </c>
      <c r="B20" s="9" t="inlineStr">
        <is>
          <t>Select to edge of data</t>
        </is>
      </c>
      <c r="C20" s="9" t="inlineStr">
        <is>
          <t>Ctrl+T</t>
        </is>
      </c>
      <c r="D20" s="9" t="inlineStr">
        <is>
          <t>Create Table</t>
        </is>
      </c>
    </row>
    <row r="21">
      <c r="A21" s="9" t="inlineStr">
        <is>
          <t>Ctrl+Space / Shift+Space</t>
        </is>
      </c>
      <c r="B21" s="9" t="inlineStr">
        <is>
          <t>Select column / row</t>
        </is>
      </c>
      <c r="C21" s="9" t="inlineStr">
        <is>
          <t>Ctrl+Shift+L</t>
        </is>
      </c>
      <c r="D21" s="9" t="inlineStr">
        <is>
          <t>Toggle filter</t>
        </is>
      </c>
    </row>
    <row r="22">
      <c r="A22" s="9" t="inlineStr">
        <is>
          <t>Ctrl+Home / Ctrl+End</t>
        </is>
      </c>
      <c r="B22" s="9" t="inlineStr">
        <is>
          <t>First / last used cell</t>
        </is>
      </c>
      <c r="C22" s="9" t="inlineStr">
        <is>
          <t>Alt+=</t>
        </is>
      </c>
      <c r="D22" s="9" t="inlineStr">
        <is>
          <t>AutoSum</t>
        </is>
      </c>
    </row>
    <row r="23">
      <c r="A23" s="9" t="inlineStr">
        <is>
          <t>Ctrl+PgUp / PgDn</t>
        </is>
      </c>
      <c r="B23" s="9" t="inlineStr">
        <is>
          <t>Previous / next sheet</t>
        </is>
      </c>
      <c r="C23" s="9" t="inlineStr">
        <is>
          <t>F4</t>
        </is>
      </c>
      <c r="D23" s="9" t="inlineStr">
        <is>
          <t>Toggle $ references; repeat action</t>
        </is>
      </c>
    </row>
    <row r="24">
      <c r="A24" s="9" t="inlineStr">
        <is>
          <t>F2</t>
        </is>
      </c>
      <c r="B24" s="9" t="inlineStr">
        <is>
          <t>Edit cell</t>
        </is>
      </c>
      <c r="C24" s="9" t="inlineStr">
        <is>
          <t>Ctrl+;</t>
        </is>
      </c>
      <c r="D24" s="9" t="inlineStr">
        <is>
          <t>Insert today's date</t>
        </is>
      </c>
    </row>
    <row r="25">
      <c r="A25" s="9" t="inlineStr">
        <is>
          <t>Ctrl+D / Ctrl+R</t>
        </is>
      </c>
      <c r="B25" s="9" t="inlineStr">
        <is>
          <t>Fill down / right</t>
        </is>
      </c>
      <c r="C25" s="9" t="inlineStr">
        <is>
          <t>Ctrl+Shift+;</t>
        </is>
      </c>
      <c r="D25" s="9" t="inlineStr">
        <is>
          <t>Insert current time</t>
        </is>
      </c>
    </row>
    <row r="26">
      <c r="A26" s="9" t="inlineStr">
        <is>
          <t>Ctrl+E</t>
        </is>
      </c>
      <c r="B26" s="9" t="inlineStr">
        <is>
          <t>Flash Fill</t>
        </is>
      </c>
      <c r="C26" s="9" t="inlineStr">
        <is>
          <t>Alt+Enter</t>
        </is>
      </c>
      <c r="D26" s="9" t="inlineStr">
        <is>
          <t>New line inside a cell</t>
        </is>
      </c>
    </row>
    <row r="27">
      <c r="A27" s="9" t="inlineStr">
        <is>
          <t>Ctrl+Alt+V</t>
        </is>
      </c>
      <c r="B27" s="9" t="inlineStr">
        <is>
          <t>Paste Special</t>
        </is>
      </c>
      <c r="C27" s="9" t="inlineStr">
        <is>
          <t>Ctrl+`</t>
        </is>
      </c>
      <c r="D27" s="9" t="inlineStr">
        <is>
          <t>Show formulas</t>
        </is>
      </c>
    </row>
    <row r="28">
      <c r="A28" s="9" t="inlineStr">
        <is>
          <t>Alt+F1 / F11</t>
        </is>
      </c>
      <c r="B28" s="9" t="inlineStr">
        <is>
          <t>Quick chart / chart sheet</t>
        </is>
      </c>
      <c r="C28" s="9" t="inlineStr">
        <is>
          <t>Alt+F5 / Ctrl+Alt+F5</t>
        </is>
      </c>
      <c r="D28" s="9" t="inlineStr">
        <is>
          <t>Refresh pivot / Refresh All</t>
        </is>
      </c>
    </row>
    <row r="29">
      <c r="A29" s="9" t="inlineStr">
        <is>
          <t>Ctrl+Z / Ctrl+Y</t>
        </is>
      </c>
      <c r="B29" s="9" t="inlineStr">
        <is>
          <t>Undo / Redo</t>
        </is>
      </c>
      <c r="C29" s="9" t="inlineStr">
        <is>
          <t>Alt+F11</t>
        </is>
      </c>
      <c r="D29" s="9" t="inlineStr">
        <is>
          <t>VBA editor</t>
        </is>
      </c>
    </row>
    <row r="30">
      <c r="A30" s="9" t="inlineStr">
        <is>
          <t>Ctrl+F / Ctrl+H</t>
        </is>
      </c>
      <c r="B30" s="9" t="inlineStr">
        <is>
          <t>Find / Replace</t>
        </is>
      </c>
      <c r="C30" s="9" t="inlineStr">
        <is>
          <t>Ctrl+G or F5</t>
        </is>
      </c>
      <c r="D30" s="9" t="inlineStr">
        <is>
          <t>Go To (Special)</t>
        </is>
      </c>
    </row>
  </sheetData>
  <mergeCells count="1">
    <mergeCell ref="A2:D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30" customWidth="1" min="5" max="5"/>
    <col width="18" customWidth="1" min="6" max="6"/>
  </cols>
  <sheetData>
    <row r="1">
      <c r="A1" s="8" t="inlineStr">
        <is>
          <t>02 · Cell references: relative, absolute, mixed</t>
        </is>
      </c>
      <c r="B1" s="2" t="n"/>
      <c r="C1" s="2" t="n"/>
      <c r="D1" s="2" t="n"/>
      <c r="E1" s="2" t="n"/>
      <c r="F1" s="2" t="n"/>
    </row>
    <row r="2" ht="32" customHeight="1">
      <c r="A2" s="3" t="inlineStr">
        <is>
          <t>Change the blue GST rate in C4 and watch every row update. The $ in $C$4 keeps the reference fixed when the formula is copied down.</t>
        </is>
      </c>
      <c r="B2" s="2" t="n"/>
      <c r="C2" s="2" t="n"/>
      <c r="D2" s="2" t="n"/>
      <c r="E2" s="2" t="n"/>
      <c r="F2" s="2" t="n"/>
    </row>
    <row r="3">
      <c r="A3" s="6" t="inlineStr">
        <is>
          <t>← Index</t>
        </is>
      </c>
      <c r="B3" s="2" t="n"/>
      <c r="C3" s="2" t="n"/>
      <c r="D3" s="2" t="n"/>
      <c r="E3" s="2" t="n"/>
      <c r="F3" s="2" t="n"/>
    </row>
    <row r="4">
      <c r="A4" s="2" t="n"/>
      <c r="B4" s="11" t="inlineStr">
        <is>
          <t>GST rate</t>
        </is>
      </c>
      <c r="C4" s="12" t="n">
        <v>0.18</v>
      </c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4" t="inlineStr">
        <is>
          <t>Product</t>
        </is>
      </c>
      <c r="B6" s="4" t="inlineStr">
        <is>
          <t>Price (₹)</t>
        </is>
      </c>
      <c r="C6" s="4" t="inlineStr">
        <is>
          <t>GST (₹)</t>
        </is>
      </c>
      <c r="D6" s="4" t="inlineStr">
        <is>
          <t>Price incl. GST</t>
        </is>
      </c>
      <c r="E6" s="4" t="inlineStr">
        <is>
          <t>Formula in C (copied down)</t>
        </is>
      </c>
      <c r="F6" s="4" t="inlineStr">
        <is>
          <t>Reference type</t>
        </is>
      </c>
    </row>
    <row r="7">
      <c r="A7" s="9" t="inlineStr">
        <is>
          <t>Earbuds</t>
        </is>
      </c>
      <c r="B7" s="13" t="n">
        <v>2999</v>
      </c>
      <c r="C7" s="14">
        <f>B7*$C$4</f>
        <v/>
      </c>
      <c r="D7" s="14">
        <f>B7+C7</f>
        <v/>
      </c>
      <c r="E7" s="10" t="inlineStr">
        <is>
          <t>=B7*$C$4</t>
        </is>
      </c>
      <c r="F7" s="9" t="inlineStr">
        <is>
          <t>B relative, $C$4 absolute</t>
        </is>
      </c>
    </row>
    <row r="8">
      <c r="A8" s="9" t="inlineStr">
        <is>
          <t>Power Bank</t>
        </is>
      </c>
      <c r="B8" s="13" t="n">
        <v>1799</v>
      </c>
      <c r="C8" s="14">
        <f>B8*$C$4</f>
        <v/>
      </c>
      <c r="D8" s="14">
        <f>B8+C8</f>
        <v/>
      </c>
      <c r="E8" s="10" t="inlineStr">
        <is>
          <t>=B8*$C$4</t>
        </is>
      </c>
      <c r="F8" s="9" t="inlineStr">
        <is>
          <t>B relative, $C$4 absolute</t>
        </is>
      </c>
    </row>
    <row r="9">
      <c r="A9" s="9" t="inlineStr">
        <is>
          <t>Speaker</t>
        </is>
      </c>
      <c r="B9" s="13" t="n">
        <v>4499</v>
      </c>
      <c r="C9" s="14">
        <f>B9*$C$4</f>
        <v/>
      </c>
      <c r="D9" s="14">
        <f>B9+C9</f>
        <v/>
      </c>
      <c r="E9" s="10" t="inlineStr">
        <is>
          <t>=B9*$C$4</t>
        </is>
      </c>
      <c r="F9" s="9" t="inlineStr">
        <is>
          <t>B relative, $C$4 absolute</t>
        </is>
      </c>
    </row>
    <row r="10">
      <c r="A10" s="9" t="inlineStr">
        <is>
          <t>Charger</t>
        </is>
      </c>
      <c r="B10" s="13" t="n">
        <v>1499</v>
      </c>
      <c r="C10" s="14">
        <f>B10*$C$4</f>
        <v/>
      </c>
      <c r="D10" s="14">
        <f>B10+C10</f>
        <v/>
      </c>
      <c r="E10" s="10" t="inlineStr">
        <is>
          <t>=B10*$C$4</t>
        </is>
      </c>
      <c r="F10" s="9" t="inlineStr">
        <is>
          <t>B relative, $C$4 absolute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11" t="inlineStr">
        <is>
          <t>Mixed references: multiplication grid</t>
        </is>
      </c>
      <c r="B13" s="2" t="n"/>
      <c r="C13" s="2" t="n"/>
      <c r="D13" s="2" t="n"/>
      <c r="E13" s="2" t="n"/>
      <c r="F13" s="2" t="n"/>
    </row>
    <row r="14">
      <c r="A14" s="11" t="inlineStr">
        <is>
          <t>×</t>
        </is>
      </c>
      <c r="B14" s="15" t="n">
        <v>1</v>
      </c>
      <c r="C14" s="15" t="n">
        <v>2</v>
      </c>
      <c r="D14" s="15" t="n">
        <v>3</v>
      </c>
      <c r="E14" s="15" t="n">
        <v>4</v>
      </c>
      <c r="F14" s="15" t="n">
        <v>5</v>
      </c>
    </row>
    <row r="15">
      <c r="A15" s="15" t="n">
        <v>1</v>
      </c>
      <c r="B15" s="16">
        <f>$A15*B$14</f>
        <v/>
      </c>
      <c r="C15" s="16">
        <f>$A15*C$14</f>
        <v/>
      </c>
      <c r="D15" s="16">
        <f>$A15*D$14</f>
        <v/>
      </c>
      <c r="E15" s="16">
        <f>$A15*E$14</f>
        <v/>
      </c>
      <c r="F15" s="16">
        <f>$A15*F$14</f>
        <v/>
      </c>
    </row>
    <row r="16">
      <c r="A16" s="15" t="n">
        <v>2</v>
      </c>
      <c r="B16" s="16">
        <f>$A16*B$14</f>
        <v/>
      </c>
      <c r="C16" s="16">
        <f>$A16*C$14</f>
        <v/>
      </c>
      <c r="D16" s="16">
        <f>$A16*D$14</f>
        <v/>
      </c>
      <c r="E16" s="16">
        <f>$A16*E$14</f>
        <v/>
      </c>
      <c r="F16" s="16">
        <f>$A16*F$14</f>
        <v/>
      </c>
    </row>
    <row r="17">
      <c r="A17" s="15" t="n">
        <v>3</v>
      </c>
      <c r="B17" s="16">
        <f>$A17*B$14</f>
        <v/>
      </c>
      <c r="C17" s="16">
        <f>$A17*C$14</f>
        <v/>
      </c>
      <c r="D17" s="16">
        <f>$A17*D$14</f>
        <v/>
      </c>
      <c r="E17" s="16">
        <f>$A17*E$14</f>
        <v/>
      </c>
      <c r="F17" s="16">
        <f>$A17*F$14</f>
        <v/>
      </c>
    </row>
    <row r="18">
      <c r="A18" s="15" t="n">
        <v>4</v>
      </c>
      <c r="B18" s="16">
        <f>$A18*B$14</f>
        <v/>
      </c>
      <c r="C18" s="16">
        <f>$A18*C$14</f>
        <v/>
      </c>
      <c r="D18" s="16">
        <f>$A18*D$14</f>
        <v/>
      </c>
      <c r="E18" s="16">
        <f>$A18*E$14</f>
        <v/>
      </c>
      <c r="F18" s="16">
        <f>$A18*F$14</f>
        <v/>
      </c>
    </row>
    <row r="19">
      <c r="A19" s="15" t="n">
        <v>5</v>
      </c>
      <c r="B19" s="16">
        <f>$A19*B$14</f>
        <v/>
      </c>
      <c r="C19" s="16">
        <f>$A19*C$14</f>
        <v/>
      </c>
      <c r="D19" s="16">
        <f>$A19*D$14</f>
        <v/>
      </c>
      <c r="E19" s="16">
        <f>$A19*E$14</f>
        <v/>
      </c>
      <c r="F19" s="16">
        <f>$A19*F$14</f>
        <v/>
      </c>
    </row>
    <row r="20">
      <c r="A20" s="2" t="n"/>
      <c r="B20" s="2" t="n"/>
      <c r="C20" s="2" t="n"/>
      <c r="D20" s="2" t="n"/>
      <c r="E20" s="2" t="n"/>
      <c r="F20" s="2" t="n"/>
    </row>
    <row r="21">
      <c r="A21" s="17" t="inlineStr">
        <is>
          <t>Formula in B15, copied to the whole grid:  =$A15*B$14  ($A locks the column, $14 locks the row)</t>
        </is>
      </c>
      <c r="B21" s="2" t="n"/>
      <c r="C21" s="2" t="n"/>
      <c r="D21" s="2" t="n"/>
      <c r="E21" s="2" t="n"/>
      <c r="F21" s="2" t="n"/>
    </row>
  </sheetData>
  <mergeCells count="1">
    <mergeCell ref="A2:F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52" customWidth="1" min="4" max="4"/>
    <col width="40" customWidth="1" min="5" max="5"/>
  </cols>
  <sheetData>
    <row r="1">
      <c r="A1" s="8" t="inlineStr">
        <is>
          <t>03 · Formatting &amp; custom number formats</t>
        </is>
      </c>
      <c r="B1" s="2" t="n"/>
      <c r="C1" s="2" t="n"/>
      <c r="D1" s="2" t="n"/>
      <c r="E1" s="2" t="n"/>
    </row>
    <row r="2" ht="32" customHeight="1">
      <c r="A2" s="3" t="inlineStr">
        <is>
          <t>The value in column B is the same in every row; only the number format in column C changes how it looks (Ctrl+1 → Custom).</t>
        </is>
      </c>
      <c r="B2" s="2" t="n"/>
      <c r="C2" s="2" t="n"/>
      <c r="D2" s="2" t="n"/>
      <c r="E2" s="2" t="n"/>
    </row>
    <row r="3">
      <c r="A3" s="6" t="inlineStr">
        <is>
          <t>← Index</t>
        </is>
      </c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4" t="inlineStr">
        <is>
          <t>Purpose</t>
        </is>
      </c>
      <c r="B5" s="4" t="inlineStr">
        <is>
          <t>Value</t>
        </is>
      </c>
      <c r="C5" s="4" t="inlineStr">
        <is>
          <t>Displayed as</t>
        </is>
      </c>
      <c r="D5" s="4" t="inlineStr">
        <is>
          <t>Custom format code</t>
        </is>
      </c>
      <c r="E5" s="4" t="inlineStr">
        <is>
          <t>Note</t>
        </is>
      </c>
    </row>
    <row r="6">
      <c r="A6" s="9" t="inlineStr">
        <is>
          <t>Thousands separator</t>
        </is>
      </c>
      <c r="B6" s="15" t="n">
        <v>1250000</v>
      </c>
      <c r="C6" s="18">
        <f>B6</f>
        <v/>
      </c>
      <c r="D6" s="10" t="inlineStr">
        <is>
          <t>#,##0</t>
        </is>
      </c>
      <c r="E6" s="9" t="inlineStr">
        <is>
          <t>Standard grouping</t>
        </is>
      </c>
    </row>
    <row r="7">
      <c r="A7" s="9" t="inlineStr">
        <is>
          <t>Indian lakh/crore grouping</t>
        </is>
      </c>
      <c r="B7" s="15" t="n">
        <v>1250000</v>
      </c>
      <c r="C7" s="19">
        <f>B7</f>
        <v/>
      </c>
      <c r="D7" s="10" t="inlineStr">
        <is>
          <t>[&gt;=10000000]##\,##\,##\,##0;[&gt;=100000]##\,##\,##0;##,##0</t>
        </is>
      </c>
      <c r="E7" s="9" t="inlineStr">
        <is>
          <t>12,50,000</t>
        </is>
      </c>
    </row>
    <row r="8">
      <c r="A8" s="9" t="inlineStr">
        <is>
          <t>Millions</t>
        </is>
      </c>
      <c r="B8" s="15" t="n">
        <v>1250000</v>
      </c>
      <c r="C8" s="20">
        <f>B8</f>
        <v/>
      </c>
      <c r="D8" s="10" t="inlineStr">
        <is>
          <t>0.0,,"M"</t>
        </is>
      </c>
      <c r="E8" s="9" t="inlineStr">
        <is>
          <t>Each comma divides by 1,000</t>
        </is>
      </c>
    </row>
    <row r="9">
      <c r="A9" s="9" t="inlineStr">
        <is>
          <t>Rupee currency</t>
        </is>
      </c>
      <c r="B9" s="15" t="n">
        <v>99.5</v>
      </c>
      <c r="C9" s="21">
        <f>B9</f>
        <v/>
      </c>
      <c r="D9" s="10" t="inlineStr">
        <is>
          <t>"₹"#,##0.00</t>
        </is>
      </c>
      <c r="E9" s="9" t="inlineStr">
        <is>
          <t>Currency with symbol</t>
        </is>
      </c>
    </row>
    <row r="10">
      <c r="A10" s="9" t="inlineStr">
        <is>
          <t>Fixed-length ID</t>
        </is>
      </c>
      <c r="B10" s="15" t="n">
        <v>7</v>
      </c>
      <c r="C10" s="22">
        <f>B10</f>
        <v/>
      </c>
      <c r="D10" s="10" t="inlineStr">
        <is>
          <t>000</t>
        </is>
      </c>
      <c r="E10" s="9" t="inlineStr">
        <is>
          <t>Shows 007</t>
        </is>
      </c>
    </row>
    <row r="11">
      <c r="A11" s="9" t="inlineStr">
        <is>
          <t>Readable date</t>
        </is>
      </c>
      <c r="B11" s="23" t="n">
        <v>31541</v>
      </c>
      <c r="C11" s="24">
        <f>B11</f>
        <v/>
      </c>
      <c r="D11" s="10" t="inlineStr">
        <is>
          <t>dd mmm' yyyy</t>
        </is>
      </c>
      <c r="E11" s="9" t="inlineStr">
        <is>
          <t>09 May' 1986</t>
        </is>
      </c>
    </row>
    <row r="12">
      <c r="A12" s="9" t="inlineStr">
        <is>
          <t>Units while numeric</t>
        </is>
      </c>
      <c r="B12" s="15" t="n">
        <v>80</v>
      </c>
      <c r="C12" s="25">
        <f>B12</f>
        <v/>
      </c>
      <c r="D12" s="10" t="inlineStr">
        <is>
          <t>0 "kg"</t>
        </is>
      </c>
      <c r="E12" s="9" t="inlineStr">
        <is>
          <t>Still a number for maths</t>
        </is>
      </c>
    </row>
    <row r="13">
      <c r="A13" s="9" t="inlineStr">
        <is>
          <t>Up/down arrows</t>
        </is>
      </c>
      <c r="B13" s="15" t="n">
        <v>0.12</v>
      </c>
      <c r="C13" s="26">
        <f>B13</f>
        <v/>
      </c>
      <c r="D13" s="10" t="inlineStr">
        <is>
          <t>[Color10]▲0%;[Red]▼0%;0%</t>
        </is>
      </c>
      <c r="E13" s="9" t="inlineStr">
        <is>
          <t>positive;negative;zero</t>
        </is>
      </c>
    </row>
    <row r="14">
      <c r="A14" s="9" t="inlineStr">
        <is>
          <t>Negative in brackets</t>
        </is>
      </c>
      <c r="B14" s="15" t="n">
        <v>-45200</v>
      </c>
      <c r="C14" s="27">
        <f>B14</f>
        <v/>
      </c>
      <c r="D14" s="10" t="inlineStr">
        <is>
          <t>#,##0;(#,##0);-</t>
        </is>
      </c>
      <c r="E14" s="9" t="inlineStr">
        <is>
          <t>Finance style; zero shows -</t>
        </is>
      </c>
    </row>
    <row r="15">
      <c r="A15" s="9" t="inlineStr">
        <is>
          <t>Thousands with k</t>
        </is>
      </c>
      <c r="B15" s="15" t="n">
        <v>87670</v>
      </c>
      <c r="C15" s="28">
        <f>B15</f>
        <v/>
      </c>
      <c r="D15" s="10" t="inlineStr">
        <is>
          <t>[&lt;100000]0.00,"k";0.0,"k"</t>
        </is>
      </c>
      <c r="E15" s="9" t="inlineStr">
        <is>
          <t>87.67k; ≥100000 one decimal</t>
        </is>
      </c>
    </row>
    <row r="16">
      <c r="A16" s="9" t="inlineStr">
        <is>
          <t>Percentage</t>
        </is>
      </c>
      <c r="B16" s="15" t="n">
        <v>0.0765</v>
      </c>
      <c r="C16" s="29">
        <f>B16</f>
        <v/>
      </c>
      <c r="D16" s="10" t="inlineStr">
        <is>
          <t>0.0%</t>
        </is>
      </c>
      <c r="E16" s="9" t="inlineStr">
        <is>
          <t>Stored as a fraction</t>
        </is>
      </c>
    </row>
    <row r="17">
      <c r="A17" s="9" t="inlineStr">
        <is>
          <t>Hide value</t>
        </is>
      </c>
      <c r="B17" s="15" t="n">
        <v>12345</v>
      </c>
      <c r="C17" s="30">
        <f>B17</f>
        <v/>
      </c>
      <c r="D17" s="10" t="inlineStr">
        <is>
          <t>;;;</t>
        </is>
      </c>
      <c r="E17" s="9" t="inlineStr">
        <is>
          <t>Value kept but invisible</t>
        </is>
      </c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7" t="inlineStr">
        <is>
          <t>Format has up to 4 sections:  positive ; negative ; zero ; text.  Conditions like [&lt;100000] can replace them.</t>
        </is>
      </c>
      <c r="B20" s="2" t="n"/>
      <c r="C20" s="2" t="n"/>
      <c r="D20" s="2" t="n"/>
      <c r="E20" s="2" t="n"/>
    </row>
  </sheetData>
  <mergeCells count="1">
    <mergeCell ref="A2:E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44" customWidth="1" min="4" max="4"/>
  </cols>
  <sheetData>
    <row r="1">
      <c r="A1" s="8" t="inlineStr">
        <is>
          <t>04 · Number functions</t>
        </is>
      </c>
      <c r="B1" s="2" t="n"/>
      <c r="C1" s="2" t="n"/>
      <c r="D1" s="2" t="n"/>
    </row>
    <row r="2" ht="32" customHeight="1">
      <c r="A2" s="3" t="inlineStr">
        <is>
          <t>Real-world examples on a single order: change the blue inputs.</t>
        </is>
      </c>
      <c r="B2" s="2" t="n"/>
      <c r="C2" s="2" t="n"/>
      <c r="D2" s="2" t="n"/>
    </row>
    <row r="3">
      <c r="A3" s="6" t="inlineStr">
        <is>
          <t>← Index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11" t="inlineStr">
        <is>
          <t>Order amount (₹)</t>
        </is>
      </c>
      <c r="B5" s="15" t="n">
        <v>12345.678</v>
      </c>
      <c r="C5" s="2" t="n"/>
      <c r="D5" s="2" t="n"/>
    </row>
    <row r="6">
      <c r="A6" s="11" t="inlineStr">
        <is>
          <t>Quantity</t>
        </is>
      </c>
      <c r="B6" s="15" t="n">
        <v>37</v>
      </c>
      <c r="C6" s="2" t="n"/>
      <c r="D6" s="2" t="n"/>
    </row>
    <row r="7">
      <c r="A7" s="11" t="inlineStr">
        <is>
          <t>Carton size</t>
        </is>
      </c>
      <c r="B7" s="15" t="n">
        <v>12</v>
      </c>
      <c r="C7" s="2" t="n"/>
      <c r="D7" s="2" t="n"/>
    </row>
    <row r="8">
      <c r="A8" s="2" t="n"/>
      <c r="B8" s="2" t="n"/>
      <c r="C8" s="2" t="n"/>
      <c r="D8" s="2" t="n"/>
    </row>
    <row r="9">
      <c r="A9" s="4" t="inlineStr">
        <is>
          <t>Function</t>
        </is>
      </c>
      <c r="B9" s="4" t="inlineStr">
        <is>
          <t>Formula</t>
        </is>
      </c>
      <c r="C9" s="4" t="inlineStr">
        <is>
          <t>Result</t>
        </is>
      </c>
      <c r="D9" s="4" t="inlineStr">
        <is>
          <t>Business use</t>
        </is>
      </c>
    </row>
    <row r="10">
      <c r="A10" s="9" t="inlineStr">
        <is>
          <t>ROUND</t>
        </is>
      </c>
      <c r="B10" s="10" t="inlineStr">
        <is>
          <t>=ROUND(B5*18%,2)</t>
        </is>
      </c>
      <c r="C10" s="31">
        <f>ROUND(B5*18%,2)</f>
        <v/>
      </c>
      <c r="D10" s="9" t="inlineStr">
        <is>
          <t>GST at 18% to paise</t>
        </is>
      </c>
    </row>
    <row r="11">
      <c r="A11" s="9" t="inlineStr">
        <is>
          <t>ROUNDUP</t>
        </is>
      </c>
      <c r="B11" s="10" t="inlineStr">
        <is>
          <t>=ROUNDUP(B6/B7,0)</t>
        </is>
      </c>
      <c r="C11" s="31">
        <f>ROUNDUP(B6/B7,0)</f>
        <v/>
      </c>
      <c r="D11" s="9" t="inlineStr">
        <is>
          <t>Cartons needed (12 per carton)</t>
        </is>
      </c>
    </row>
    <row r="12">
      <c r="A12" s="9" t="inlineStr">
        <is>
          <t>ROUNDDOWN</t>
        </is>
      </c>
      <c r="B12" s="10" t="inlineStr">
        <is>
          <t>=ROUNDDOWN(B5,-2)</t>
        </is>
      </c>
      <c r="C12" s="31">
        <f>ROUNDDOWN(B5,-2)</f>
        <v/>
      </c>
      <c r="D12" s="9" t="inlineStr">
        <is>
          <t>Round down to hundreds</t>
        </is>
      </c>
    </row>
    <row r="13">
      <c r="A13" s="9" t="inlineStr">
        <is>
          <t>INT</t>
        </is>
      </c>
      <c r="B13" s="10" t="inlineStr">
        <is>
          <t>=INT(B5/1000)</t>
        </is>
      </c>
      <c r="C13" s="31">
        <f>INT(B5/1000)</f>
        <v/>
      </c>
      <c r="D13" s="9" t="inlineStr">
        <is>
          <t>Whole thousands</t>
        </is>
      </c>
    </row>
    <row r="14">
      <c r="A14" s="9" t="inlineStr">
        <is>
          <t>MOD</t>
        </is>
      </c>
      <c r="B14" s="10" t="inlineStr">
        <is>
          <t>=MOD(B6,B7)</t>
        </is>
      </c>
      <c r="C14" s="31">
        <f>MOD(B6,B7)</f>
        <v/>
      </c>
      <c r="D14" s="9" t="inlineStr">
        <is>
          <t>Loose units left over</t>
        </is>
      </c>
    </row>
    <row r="15">
      <c r="A15" s="9" t="inlineStr">
        <is>
          <t>ABS</t>
        </is>
      </c>
      <c r="B15" s="10" t="inlineStr">
        <is>
          <t>=ABS(9500-B5)</t>
        </is>
      </c>
      <c r="C15" s="31">
        <f>ABS(9500-B5)</f>
        <v/>
      </c>
      <c r="D15" s="9" t="inlineStr">
        <is>
          <t>Size of miss vs target 9,500</t>
        </is>
      </c>
    </row>
    <row r="16">
      <c r="A16" s="9" t="inlineStr">
        <is>
          <t>CEILING.MATH</t>
        </is>
      </c>
      <c r="B16" s="10" t="inlineStr">
        <is>
          <t>=CEILING.MATH(B5,10)</t>
        </is>
      </c>
      <c r="C16" s="31">
        <f>_xlfn.CEILING.MATH(B5,10)</f>
        <v/>
      </c>
      <c r="D16" s="9" t="inlineStr">
        <is>
          <t>Price rounded up to next ₹10</t>
        </is>
      </c>
    </row>
    <row r="17">
      <c r="A17" s="9" t="inlineStr">
        <is>
          <t>POWER</t>
        </is>
      </c>
      <c r="B17" s="10" t="inlineStr">
        <is>
          <t>=POWER(1.12,5)</t>
        </is>
      </c>
      <c r="C17" s="31">
        <f>POWER(1.12,5)</f>
        <v/>
      </c>
      <c r="D17" s="9" t="inlineStr">
        <is>
          <t>Growth factor at 12% for 5 years</t>
        </is>
      </c>
    </row>
    <row r="18">
      <c r="A18" s="9" t="inlineStr">
        <is>
          <t>SQRT</t>
        </is>
      </c>
      <c r="B18" s="10" t="inlineStr">
        <is>
          <t>=SQRT(144)</t>
        </is>
      </c>
      <c r="C18" s="31">
        <f>SQRT(144)</f>
        <v/>
      </c>
      <c r="D18" s="9" t="inlineStr">
        <is>
          <t>Square root</t>
        </is>
      </c>
    </row>
    <row r="19">
      <c r="A19" s="9" t="inlineStr">
        <is>
          <t>SUMPRODUCT</t>
        </is>
      </c>
      <c r="B19" s="10" t="inlineStr">
        <is>
          <t>=SUMPRODUCT(Data!G2:G401,Data!H2:H401)</t>
        </is>
      </c>
      <c r="C19" s="31">
        <f>SUMPRODUCT(Data!G2:G401,Data!H2:H401)</f>
        <v/>
      </c>
      <c r="D19" s="9" t="inlineStr">
        <is>
          <t>Gross sales without a helper column</t>
        </is>
      </c>
    </row>
    <row r="20">
      <c r="A20" s="9" t="inlineStr">
        <is>
          <t>RANDBETWEEN</t>
        </is>
      </c>
      <c r="B20" s="10" t="inlineStr">
        <is>
          <t>=RANDBETWEEN(1,100)</t>
        </is>
      </c>
      <c r="C20" s="9" t="n"/>
      <c r="D20" s="9" t="inlineStr">
        <is>
          <t>Random sample IDs (recalculates every change, so no live value here)</t>
        </is>
      </c>
    </row>
  </sheetData>
  <mergeCells count="1">
    <mergeCell ref="A2:D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30" customWidth="1" min="3" max="3"/>
    <col width="40" customWidth="1" min="4" max="4"/>
  </cols>
  <sheetData>
    <row r="1">
      <c r="A1" s="8" t="inlineStr">
        <is>
          <t>05 · Text functions</t>
        </is>
      </c>
      <c r="B1" s="2" t="n"/>
      <c r="C1" s="2" t="n"/>
      <c r="D1" s="2" t="n"/>
    </row>
    <row r="2" ht="32" customHeight="1">
      <c r="A2" s="3" t="inlineStr">
        <is>
          <t>Cleaning messy imported text. Inputs in blue.</t>
        </is>
      </c>
      <c r="B2" s="2" t="n"/>
      <c r="C2" s="2" t="n"/>
      <c r="D2" s="2" t="n"/>
    </row>
    <row r="3">
      <c r="A3" s="6" t="inlineStr">
        <is>
          <t>← Index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11" t="inlineStr">
        <is>
          <t>Full name</t>
        </is>
      </c>
      <c r="B5" s="15" t="inlineStr">
        <is>
          <t xml:space="preserve">  ravi   kumar  </t>
        </is>
      </c>
      <c r="C5" s="2" t="n"/>
      <c r="D5" s="2" t="n"/>
    </row>
    <row r="6">
      <c r="A6" s="11" t="inlineStr">
        <is>
          <t>Email</t>
        </is>
      </c>
      <c r="B6" s="15" t="inlineStr">
        <is>
          <t>Asha.Verma@Example.com</t>
        </is>
      </c>
      <c r="C6" s="2" t="n"/>
      <c r="D6" s="2" t="n"/>
    </row>
    <row r="7">
      <c r="A7" s="11" t="inlineStr">
        <is>
          <t>Order code</t>
        </is>
      </c>
      <c r="B7" s="15" t="inlineStr">
        <is>
          <t>NOR-1042-MUM</t>
        </is>
      </c>
      <c r="C7" s="2" t="n"/>
      <c r="D7" s="2" t="n"/>
    </row>
    <row r="8">
      <c r="A8" s="11" t="inlineStr">
        <is>
          <t>Phone</t>
        </is>
      </c>
      <c r="B8" s="15" t="inlineStr">
        <is>
          <t>9876543210</t>
        </is>
      </c>
      <c r="C8" s="2" t="n"/>
      <c r="D8" s="2" t="n"/>
    </row>
    <row r="9">
      <c r="A9" s="11" t="inlineStr">
        <is>
          <t>Price text</t>
        </is>
      </c>
      <c r="B9" s="15" t="inlineStr">
        <is>
          <t>₹1,250</t>
        </is>
      </c>
      <c r="C9" s="2" t="n"/>
      <c r="D9" s="2" t="n"/>
    </row>
    <row r="10">
      <c r="A10" s="2" t="n"/>
      <c r="B10" s="2" t="n"/>
      <c r="C10" s="2" t="n"/>
      <c r="D10" s="2" t="n"/>
    </row>
    <row r="11">
      <c r="A11" s="4" t="inlineStr">
        <is>
          <t>Function</t>
        </is>
      </c>
      <c r="B11" s="4" t="inlineStr">
        <is>
          <t>Formula</t>
        </is>
      </c>
      <c r="C11" s="4" t="inlineStr">
        <is>
          <t>Result</t>
        </is>
      </c>
      <c r="D11" s="4" t="inlineStr">
        <is>
          <t>Use</t>
        </is>
      </c>
    </row>
    <row r="12">
      <c r="A12" s="9" t="inlineStr">
        <is>
          <t>TRIM + PROPER</t>
        </is>
      </c>
      <c r="B12" s="10" t="inlineStr">
        <is>
          <t>=PROPER(TRIM(B5))</t>
        </is>
      </c>
      <c r="C12" s="31">
        <f>PROPER(TRIM(B5))</f>
        <v/>
      </c>
      <c r="D12" s="9" t="inlineStr">
        <is>
          <t>Tidy names</t>
        </is>
      </c>
    </row>
    <row r="13">
      <c r="A13" s="9" t="inlineStr">
        <is>
          <t>LEFT</t>
        </is>
      </c>
      <c r="B13" s="10" t="inlineStr">
        <is>
          <t>=LEFT(B7,3)</t>
        </is>
      </c>
      <c r="C13" s="31">
        <f>LEFT(B7,3)</f>
        <v/>
      </c>
      <c r="D13" s="9" t="inlineStr">
        <is>
          <t>Region prefix</t>
        </is>
      </c>
    </row>
    <row r="14">
      <c r="A14" s="9" t="inlineStr">
        <is>
          <t>RIGHT</t>
        </is>
      </c>
      <c r="B14" s="10" t="inlineStr">
        <is>
          <t>=RIGHT(B7,3)</t>
        </is>
      </c>
      <c r="C14" s="31">
        <f>RIGHT(B7,3)</f>
        <v/>
      </c>
      <c r="D14" s="9" t="inlineStr">
        <is>
          <t>City suffix</t>
        </is>
      </c>
    </row>
    <row r="15">
      <c r="A15" s="9" t="inlineStr">
        <is>
          <t>MID + FIND</t>
        </is>
      </c>
      <c r="B15" s="10" t="inlineStr">
        <is>
          <t>=MID(B7,FIND("-",B7)+1,4)</t>
        </is>
      </c>
      <c r="C15" s="31">
        <f>MID(B7,FIND("-",B7)+1,4)</f>
        <v/>
      </c>
      <c r="D15" s="9" t="inlineStr">
        <is>
          <t>Middle part</t>
        </is>
      </c>
    </row>
    <row r="16">
      <c r="A16" s="9" t="inlineStr">
        <is>
          <t>LEN</t>
        </is>
      </c>
      <c r="B16" s="10" t="inlineStr">
        <is>
          <t>=LEN(B8)=10</t>
        </is>
      </c>
      <c r="C16" s="31">
        <f>LEN(B8)=10</f>
        <v/>
      </c>
      <c r="D16" s="9" t="inlineStr">
        <is>
          <t>Valid 10-digit mobile?</t>
        </is>
      </c>
    </row>
    <row r="17">
      <c r="A17" s="9" t="inlineStr">
        <is>
          <t>Domain</t>
        </is>
      </c>
      <c r="B17" s="10" t="inlineStr">
        <is>
          <t>=MID(B6,FIND("@",B6)+1,50)</t>
        </is>
      </c>
      <c r="C17" s="31">
        <f>MID(B6,FIND("@",B6)+1,50)</f>
        <v/>
      </c>
      <c r="D17" s="9" t="inlineStr">
        <is>
          <t>Email domain</t>
        </is>
      </c>
    </row>
    <row r="18">
      <c r="A18" s="9" t="inlineStr">
        <is>
          <t>LOWER</t>
        </is>
      </c>
      <c r="B18" s="10" t="inlineStr">
        <is>
          <t>=LOWER(B6)</t>
        </is>
      </c>
      <c r="C18" s="31">
        <f>LOWER(B6)</f>
        <v/>
      </c>
      <c r="D18" s="9" t="inlineStr">
        <is>
          <t>Standardise emails</t>
        </is>
      </c>
    </row>
    <row r="19">
      <c r="A19" s="9" t="inlineStr">
        <is>
          <t>UPPER</t>
        </is>
      </c>
      <c r="B19" s="10" t="inlineStr">
        <is>
          <t>=UPPER(B7)</t>
        </is>
      </c>
      <c r="C19" s="31">
        <f>UPPER(B7)</f>
        <v/>
      </c>
      <c r="D19" s="9" t="inlineStr">
        <is>
          <t>Codes in capitals</t>
        </is>
      </c>
    </row>
    <row r="20">
      <c r="A20" s="9" t="inlineStr">
        <is>
          <t>SUBSTITUTE + VALUE</t>
        </is>
      </c>
      <c r="B20" s="10" t="inlineStr">
        <is>
          <t>=VALUE(SUBSTITUTE(SUBSTITUTE(B9,"₹",""),",",""))</t>
        </is>
      </c>
      <c r="C20" s="31">
        <f>VALUE(SUBSTITUTE(SUBSTITUTE(B9,"₹",""),",",""))</f>
        <v/>
      </c>
      <c r="D20" s="9" t="inlineStr">
        <is>
          <t>Text price → number</t>
        </is>
      </c>
    </row>
    <row r="21">
      <c r="A21" s="9" t="inlineStr">
        <is>
          <t>Mask</t>
        </is>
      </c>
      <c r="B21" s="10" t="inlineStr">
        <is>
          <t>="XXXXXX"&amp;RIGHT(B8,4)</t>
        </is>
      </c>
      <c r="C21" s="31">
        <f>"XXXXXX"&amp;RIGHT(B8,4)</f>
        <v/>
      </c>
      <c r="D21" s="9" t="inlineStr">
        <is>
          <t>Hide phone digits</t>
        </is>
      </c>
    </row>
    <row r="22">
      <c r="A22" s="9" t="inlineStr">
        <is>
          <t>CONCAT / &amp;</t>
        </is>
      </c>
      <c r="B22" s="10" t="inlineStr">
        <is>
          <t>=PROPER(TRIM(B5))&amp;" ("&amp;RIGHT(B7,3)&amp;")"</t>
        </is>
      </c>
      <c r="C22" s="31">
        <f>PROPER(TRIM(B5))&amp;" ("&amp;RIGHT(B7,3)&amp;")"</f>
        <v/>
      </c>
      <c r="D22" s="9" t="inlineStr">
        <is>
          <t>Build labels</t>
        </is>
      </c>
    </row>
    <row r="23">
      <c r="A23" s="9" t="inlineStr">
        <is>
          <t>TEXTJOIN</t>
        </is>
      </c>
      <c r="B23" s="10" t="inlineStr">
        <is>
          <t>=TEXTJOIN(", ",TRUE,Lookups!I3:I8)</t>
        </is>
      </c>
      <c r="C23" s="31">
        <f>_xlfn.TEXTJOIN(", ",TRUE,Lookups!I3:I8)</f>
        <v/>
      </c>
      <c r="D23" s="9" t="inlineStr">
        <is>
          <t>List of cities in one cell</t>
        </is>
      </c>
    </row>
    <row r="24">
      <c r="A24" s="9" t="inlineStr">
        <is>
          <t>Word count</t>
        </is>
      </c>
      <c r="B24" s="10" t="inlineStr">
        <is>
          <t>=LEN(TRIM(B5))-LEN(SUBSTITUTE(TRIM(B5)," ",""))+1</t>
        </is>
      </c>
      <c r="C24" s="31">
        <f>LEN(TRIM(B5))-LEN(SUBSTITUTE(TRIM(B5)," ",""))+1</f>
        <v/>
      </c>
      <c r="D24" s="9" t="inlineStr">
        <is>
          <t>Words in a cell</t>
        </is>
      </c>
    </row>
    <row r="25">
      <c r="A25" s="9" t="inlineStr">
        <is>
          <t>TEXT</t>
        </is>
      </c>
      <c r="B25" s="10" t="inlineStr">
        <is>
          <t>=TEXT(1234.5,"₹#,##0.00")</t>
        </is>
      </c>
      <c r="C25" s="31">
        <f>TEXT(1234.5,"₹#,##0.00")</f>
        <v/>
      </c>
      <c r="D25" s="9" t="inlineStr">
        <is>
          <t>Number as formatted text</t>
        </is>
      </c>
    </row>
  </sheetData>
  <mergeCells count="1">
    <mergeCell ref="A2:D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18" customWidth="1" min="3" max="3"/>
    <col width="40" customWidth="1" min="4" max="4"/>
  </cols>
  <sheetData>
    <row r="1">
      <c r="A1" s="8" t="inlineStr">
        <is>
          <t>06 · Date &amp; time functions</t>
        </is>
      </c>
      <c r="B1" s="2" t="n"/>
      <c r="C1" s="2" t="n"/>
      <c r="D1" s="2" t="n"/>
    </row>
    <row r="2" ht="32" customHeight="1">
      <c r="A2" s="3" t="inlineStr">
        <is>
          <t>Dates are serial numbers. Inputs in blue; Holidays list on the Lookups sheet.</t>
        </is>
      </c>
      <c r="B2" s="2" t="n"/>
      <c r="C2" s="2" t="n"/>
      <c r="D2" s="2" t="n"/>
    </row>
    <row r="3">
      <c r="A3" s="6" t="inlineStr">
        <is>
          <t>← Index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11" t="inlineStr">
        <is>
          <t>Order date</t>
        </is>
      </c>
      <c r="B5" s="32" t="n">
        <v>46304</v>
      </c>
      <c r="C5" s="2" t="n"/>
      <c r="D5" s="2" t="n"/>
    </row>
    <row r="6">
      <c r="A6" s="11" t="inlineStr">
        <is>
          <t>Delivered</t>
        </is>
      </c>
      <c r="B6" s="32" t="n">
        <v>46316</v>
      </c>
      <c r="C6" s="2" t="n"/>
      <c r="D6" s="2" t="n"/>
    </row>
    <row r="7">
      <c r="A7" s="11" t="inlineStr">
        <is>
          <t>Date of birth</t>
        </is>
      </c>
      <c r="B7" s="32" t="n">
        <v>33039</v>
      </c>
      <c r="C7" s="2" t="n"/>
      <c r="D7" s="2" t="n"/>
    </row>
    <row r="8">
      <c r="A8" s="11" t="inlineStr">
        <is>
          <t>Login</t>
        </is>
      </c>
      <c r="B8" s="33" t="n">
        <v>46304.38541666666</v>
      </c>
      <c r="C8" s="2" t="n"/>
      <c r="D8" s="2" t="n"/>
    </row>
    <row r="9">
      <c r="A9" s="11" t="inlineStr">
        <is>
          <t>Logout</t>
        </is>
      </c>
      <c r="B9" s="33" t="n">
        <v>46304.77777777778</v>
      </c>
      <c r="C9" s="2" t="n"/>
      <c r="D9" s="2" t="n"/>
    </row>
    <row r="10">
      <c r="A10" s="2" t="n"/>
      <c r="B10" s="2" t="n"/>
      <c r="C10" s="2" t="n"/>
      <c r="D10" s="2" t="n"/>
    </row>
    <row r="11">
      <c r="A11" s="4" t="inlineStr">
        <is>
          <t>Function</t>
        </is>
      </c>
      <c r="B11" s="4" t="inlineStr">
        <is>
          <t>Formula</t>
        </is>
      </c>
      <c r="C11" s="4" t="inlineStr">
        <is>
          <t>Result</t>
        </is>
      </c>
      <c r="D11" s="4" t="inlineStr">
        <is>
          <t>Use</t>
        </is>
      </c>
    </row>
    <row r="12">
      <c r="A12" s="9" t="inlineStr">
        <is>
          <t>YEAR / MONTH / DAY</t>
        </is>
      </c>
      <c r="B12" s="10" t="inlineStr">
        <is>
          <t>=YEAR(B5)</t>
        </is>
      </c>
      <c r="C12" s="31">
        <f>YEAR(B5)</f>
        <v/>
      </c>
      <c r="D12" s="9" t="inlineStr">
        <is>
          <t>Group by year</t>
        </is>
      </c>
    </row>
    <row r="13">
      <c r="A13" s="9" t="inlineStr">
        <is>
          <t>TEXT month</t>
        </is>
      </c>
      <c r="B13" s="10" t="inlineStr">
        <is>
          <t>=TEXT(B5,"mmm-yy")</t>
        </is>
      </c>
      <c r="C13" s="31">
        <f>TEXT(B5,"mmm-yy")</f>
        <v/>
      </c>
      <c r="D13" s="9" t="inlineStr">
        <is>
          <t>Month label</t>
        </is>
      </c>
    </row>
    <row r="14">
      <c r="A14" s="9" t="inlineStr">
        <is>
          <t>Weekday name</t>
        </is>
      </c>
      <c r="B14" s="10" t="inlineStr">
        <is>
          <t>=TEXT(B5,"dddd")</t>
        </is>
      </c>
      <c r="C14" s="31">
        <f>TEXT(B5,"dddd")</f>
        <v/>
      </c>
      <c r="D14" s="9" t="inlineStr">
        <is>
          <t>Day of week</t>
        </is>
      </c>
    </row>
    <row r="15">
      <c r="A15" s="9" t="inlineStr">
        <is>
          <t>DATE</t>
        </is>
      </c>
      <c r="B15" s="10" t="inlineStr">
        <is>
          <t>=DATE(2026,4,1)</t>
        </is>
      </c>
      <c r="C15" s="34">
        <f>DATE(2026,4,1)</f>
        <v/>
      </c>
      <c r="D15" s="9" t="inlineStr">
        <is>
          <t>Start of FY 2026-27</t>
        </is>
      </c>
    </row>
    <row r="16">
      <c r="A16" s="9" t="inlineStr">
        <is>
          <t>EOMONTH</t>
        </is>
      </c>
      <c r="B16" s="10" t="inlineStr">
        <is>
          <t>=EOMONTH(B5,0)</t>
        </is>
      </c>
      <c r="C16" s="34">
        <f>EOMONTH(B5,0)</f>
        <v/>
      </c>
      <c r="D16" s="9" t="inlineStr">
        <is>
          <t>Month-end (billing cut-off)</t>
        </is>
      </c>
    </row>
    <row r="17">
      <c r="A17" s="9" t="inlineStr">
        <is>
          <t>First of month</t>
        </is>
      </c>
      <c r="B17" s="10" t="inlineStr">
        <is>
          <t>=EOMONTH(B5,-1)+1</t>
        </is>
      </c>
      <c r="C17" s="34">
        <f>EOMONTH(B5,-1)+1</f>
        <v/>
      </c>
      <c r="D17" s="9" t="inlineStr">
        <is>
          <t>Month start</t>
        </is>
      </c>
    </row>
    <row r="18">
      <c r="A18" s="9" t="inlineStr">
        <is>
          <t>EDATE</t>
        </is>
      </c>
      <c r="B18" s="10" t="inlineStr">
        <is>
          <t>=EDATE(B5,3)</t>
        </is>
      </c>
      <c r="C18" s="34">
        <f>EDATE(B5,3)</f>
        <v/>
      </c>
      <c r="D18" s="9" t="inlineStr">
        <is>
          <t>Warranty check after 3 months</t>
        </is>
      </c>
    </row>
    <row r="19">
      <c r="A19" s="9" t="inlineStr">
        <is>
          <t>Days between</t>
        </is>
      </c>
      <c r="B19" s="10" t="inlineStr">
        <is>
          <t>=B6-B5</t>
        </is>
      </c>
      <c r="C19" s="31">
        <f>B6-B5</f>
        <v/>
      </c>
      <c r="D19" s="9" t="inlineStr">
        <is>
          <t>Delivery days (calendar)</t>
        </is>
      </c>
    </row>
    <row r="20">
      <c r="A20" s="9" t="inlineStr">
        <is>
          <t>NETWORKDAYS</t>
        </is>
      </c>
      <c r="B20" s="10" t="inlineStr">
        <is>
          <t>=NETWORKDAYS(B5,B6,Lookups!O3:O6)</t>
        </is>
      </c>
      <c r="C20" s="31">
        <f>NETWORKDAYS(B5,B6,Lookups!O3:O6)</f>
        <v/>
      </c>
      <c r="D20" s="9" t="inlineStr">
        <is>
          <t>Working days excl. weekends &amp; holidays</t>
        </is>
      </c>
    </row>
    <row r="21">
      <c r="A21" s="9" t="inlineStr">
        <is>
          <t>WORKDAY</t>
        </is>
      </c>
      <c r="B21" s="10" t="inlineStr">
        <is>
          <t>=WORKDAY(B5,10,Lookups!O3:O6)</t>
        </is>
      </c>
      <c r="C21" s="34">
        <f>WORKDAY(B5,10,Lookups!O3:O6)</f>
        <v/>
      </c>
      <c r="D21" s="9" t="inlineStr">
        <is>
          <t>SLA due date: 10 working days</t>
        </is>
      </c>
    </row>
    <row r="22">
      <c r="A22" s="9" t="inlineStr">
        <is>
          <t>DATEDIF</t>
        </is>
      </c>
      <c r="B22" s="10" t="inlineStr">
        <is>
          <t>=DATEDIF(B7,B5,"Y")</t>
        </is>
      </c>
      <c r="C22" s="31">
        <f>DATEDIF(B7,B5,"Y")</f>
        <v/>
      </c>
      <c r="D22" s="9" t="inlineStr">
        <is>
          <t>Age in completed years on order date</t>
        </is>
      </c>
    </row>
    <row r="23">
      <c r="A23" s="9" t="inlineStr">
        <is>
          <t>WEEKNUM</t>
        </is>
      </c>
      <c r="B23" s="10" t="inlineStr">
        <is>
          <t>=WEEKNUM(B5,2)</t>
        </is>
      </c>
      <c r="C23" s="31">
        <f>WEEKNUM(B5,2)</f>
        <v/>
      </c>
      <c r="D23" s="9" t="inlineStr">
        <is>
          <t>Week number (Mon start)</t>
        </is>
      </c>
    </row>
    <row r="24">
      <c r="A24" s="9" t="inlineStr">
        <is>
          <t>Financial year</t>
        </is>
      </c>
      <c r="B24" s="10" t="inlineStr">
        <is>
          <t>="FY"&amp;IF(MONTH(B5)&gt;=4,YEAR(B5)+1,YEAR(B5))</t>
        </is>
      </c>
      <c r="C24" s="31">
        <f>"FY"&amp;IF(MONTH(B5)&gt;=4,YEAR(B5)+1,YEAR(B5))</f>
        <v/>
      </c>
      <c r="D24" s="9" t="inlineStr">
        <is>
          <t>Indian FY label</t>
        </is>
      </c>
    </row>
    <row r="25">
      <c r="A25" s="9" t="inlineStr">
        <is>
          <t>FY quarter</t>
        </is>
      </c>
      <c r="B25" s="10" t="inlineStr">
        <is>
          <t>="Q"&amp;ROUNDUP((MOD(MONTH(B5)-4,12)+1)/3,0)</t>
        </is>
      </c>
      <c r="C25" s="31">
        <f>"Q"&amp;ROUNDUP((MOD(MONTH(B5)-4,12)+1)/3,0)</f>
        <v/>
      </c>
      <c r="D25" s="9" t="inlineStr">
        <is>
          <t>Apr–Jun = Q1</t>
        </is>
      </c>
    </row>
    <row r="26">
      <c r="A26" s="9" t="inlineStr">
        <is>
          <t>Hours worked</t>
        </is>
      </c>
      <c r="B26" s="10" t="inlineStr">
        <is>
          <t>=(B9-B8)*24</t>
        </is>
      </c>
      <c r="C26" s="35">
        <f>(B9-B8)*24</f>
        <v/>
      </c>
      <c r="D26" s="9" t="inlineStr">
        <is>
          <t>Shift length in hours</t>
        </is>
      </c>
    </row>
  </sheetData>
  <mergeCells count="1">
    <mergeCell ref="A2:D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18" customWidth="1" min="3" max="3"/>
    <col width="34" customWidth="1" min="4" max="4"/>
  </cols>
  <sheetData>
    <row r="1">
      <c r="A1" s="8" t="inlineStr">
        <is>
          <t>07 · Aggregate &amp; conditional aggregate functions</t>
        </is>
      </c>
      <c r="B1" s="2" t="n"/>
      <c r="C1" s="2" t="n"/>
      <c r="D1" s="2" t="n"/>
    </row>
    <row r="2" ht="32" customHeight="1">
      <c r="A2" s="3" t="inlineStr">
        <is>
          <t>All formulas read the 400-order Data sheet. Change the blue city / dates to re-run.</t>
        </is>
      </c>
      <c r="B2" s="2" t="n"/>
      <c r="C2" s="2" t="n"/>
      <c r="D2" s="2" t="n"/>
    </row>
    <row r="3">
      <c r="A3" s="6" t="inlineStr">
        <is>
          <t>← Index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11" t="inlineStr">
        <is>
          <t>City</t>
        </is>
      </c>
      <c r="B5" s="36" t="inlineStr">
        <is>
          <t>Pune</t>
        </is>
      </c>
      <c r="C5" s="2" t="n"/>
      <c r="D5" s="2" t="n"/>
    </row>
    <row r="6">
      <c r="A6" s="11" t="inlineStr">
        <is>
          <t>From</t>
        </is>
      </c>
      <c r="B6" s="37" t="n">
        <v>46204</v>
      </c>
      <c r="C6" s="2" t="n"/>
      <c r="D6" s="2" t="n"/>
    </row>
    <row r="7">
      <c r="A7" s="11" t="inlineStr">
        <is>
          <t>To</t>
        </is>
      </c>
      <c r="B7" s="37" t="n">
        <v>46295</v>
      </c>
      <c r="C7" s="2" t="n"/>
      <c r="D7" s="2" t="n"/>
    </row>
    <row r="8">
      <c r="A8" s="2" t="n"/>
      <c r="B8" s="2" t="n"/>
      <c r="C8" s="2" t="n"/>
      <c r="D8" s="2" t="n"/>
    </row>
    <row r="9">
      <c r="A9" s="4" t="inlineStr">
        <is>
          <t>Function</t>
        </is>
      </c>
      <c r="B9" s="4" t="inlineStr">
        <is>
          <t>Formula</t>
        </is>
      </c>
      <c r="C9" s="4" t="inlineStr">
        <is>
          <t>Result</t>
        </is>
      </c>
      <c r="D9" s="4" t="inlineStr">
        <is>
          <t>Answer to</t>
        </is>
      </c>
    </row>
    <row r="10">
      <c r="A10" s="9" t="inlineStr">
        <is>
          <t>SUM</t>
        </is>
      </c>
      <c r="B10" s="10" t="inlineStr">
        <is>
          <t>=SUM(Data!$L$2:$L$401)</t>
        </is>
      </c>
      <c r="C10" s="38">
        <f>SUM(Data!$L$2:$L$401)</f>
        <v/>
      </c>
      <c r="D10" s="9" t="inlineStr">
        <is>
          <t>Total revenue</t>
        </is>
      </c>
    </row>
    <row r="11">
      <c r="A11" s="9" t="inlineStr">
        <is>
          <t>COUNT / COUNTA</t>
        </is>
      </c>
      <c r="B11" s="10" t="inlineStr">
        <is>
          <t>=COUNTA(Data!$A$2:$A$401)</t>
        </is>
      </c>
      <c r="C11" s="39">
        <f>COUNTA(Data!$A$2:$A$401)</f>
        <v/>
      </c>
      <c r="D11" s="9" t="inlineStr">
        <is>
          <t>Number of orders</t>
        </is>
      </c>
    </row>
    <row r="12">
      <c r="A12" s="9" t="inlineStr">
        <is>
          <t>AVERAGE</t>
        </is>
      </c>
      <c r="B12" s="10" t="inlineStr">
        <is>
          <t>=AVERAGE(Data!$L$2:$L$401)</t>
        </is>
      </c>
      <c r="C12" s="38">
        <f>AVERAGE(Data!$L$2:$L$401)</f>
        <v/>
      </c>
      <c r="D12" s="9" t="inlineStr">
        <is>
          <t>Average order value</t>
        </is>
      </c>
    </row>
    <row r="13">
      <c r="A13" s="9" t="inlineStr">
        <is>
          <t>MEDIAN</t>
        </is>
      </c>
      <c r="B13" s="10" t="inlineStr">
        <is>
          <t>=MEDIAN(Data!$L$2:$L$401)</t>
        </is>
      </c>
      <c r="C13" s="38">
        <f>MEDIAN(Data!$L$2:$L$401)</f>
        <v/>
      </c>
      <c r="D13" s="9" t="inlineStr">
        <is>
          <t>Typical order (skew-proof)</t>
        </is>
      </c>
    </row>
    <row r="14">
      <c r="A14" s="9" t="inlineStr">
        <is>
          <t>MAX / LARGE</t>
        </is>
      </c>
      <c r="B14" s="10" t="inlineStr">
        <is>
          <t>=LARGE(Data!$L$2:$L$401,3)</t>
        </is>
      </c>
      <c r="C14" s="38">
        <f>LARGE(Data!$L$2:$L$401,3)</f>
        <v/>
      </c>
      <c r="D14" s="9" t="inlineStr">
        <is>
          <t>3rd largest order</t>
        </is>
      </c>
    </row>
    <row r="15">
      <c r="A15" s="9" t="inlineStr">
        <is>
          <t>MIN / SMALL</t>
        </is>
      </c>
      <c r="B15" s="10" t="inlineStr">
        <is>
          <t>=SMALL(Data!$L$2:$L$401,1)</t>
        </is>
      </c>
      <c r="C15" s="38">
        <f>SMALL(Data!$L$2:$L$401,1)</f>
        <v/>
      </c>
      <c r="D15" s="9" t="inlineStr">
        <is>
          <t>Smallest order</t>
        </is>
      </c>
    </row>
    <row r="16">
      <c r="A16" s="9" t="inlineStr">
        <is>
          <t>COUNTBLANK</t>
        </is>
      </c>
      <c r="B16" s="10" t="inlineStr">
        <is>
          <t>=COUNTBLANK(Data!$D$2:$D$401)</t>
        </is>
      </c>
      <c r="C16" s="39">
        <f>COUNTBLANK(Data!$D$2:$D$401)</f>
        <v/>
      </c>
      <c r="D16" s="9" t="inlineStr">
        <is>
          <t>Orders missing a city</t>
        </is>
      </c>
    </row>
    <row r="17">
      <c r="A17" s="9" t="inlineStr">
        <is>
          <t>SUMIF</t>
        </is>
      </c>
      <c r="B17" s="10" t="inlineStr">
        <is>
          <t>=SUMIF(Data!$D$2:$D$401,B5,Data!$L$2:$L$401)</t>
        </is>
      </c>
      <c r="C17" s="38">
        <f>SUMIF(Data!$D$2:$D$401,B5,Data!$L$2:$L$401)</f>
        <v/>
      </c>
      <c r="D17" s="9" t="inlineStr">
        <is>
          <t>Revenue for the chosen city</t>
        </is>
      </c>
    </row>
    <row r="18">
      <c r="A18" s="9" t="inlineStr">
        <is>
          <t>SUMIFS (city + dates)</t>
        </is>
      </c>
      <c r="B18" s="10" t="inlineStr">
        <is>
          <t>=SUMIFS(Data!$L$2:$L$401,Data!$D$2:$D$401,B5,Data!$B$2:$B$401,"&gt;="&amp;B6,Data!$B$2:$B$401,"&lt;="&amp;B7)</t>
        </is>
      </c>
      <c r="C18" s="38">
        <f>SUMIFS(Data!$L$2:$L$401,Data!$D$2:$D$401,B5,Data!$B$2:$B$401,"&gt;="&amp;B6,Data!$B$2:$B$401,"&lt;="&amp;B7)</f>
        <v/>
      </c>
      <c r="D18" s="9" t="inlineStr">
        <is>
          <t>City revenue between two dates</t>
        </is>
      </c>
    </row>
    <row r="19">
      <c r="A19" s="9" t="inlineStr">
        <is>
          <t>COUNTIFS</t>
        </is>
      </c>
      <c r="B19" s="10" t="inlineStr">
        <is>
          <t>=COUNTIFS(Data!$D$2:$D$401,B5,Data!$L$2:$L$401,"&gt;20000")</t>
        </is>
      </c>
      <c r="C19" s="39">
        <f>COUNTIFS(Data!$D$2:$D$401,B5,Data!$L$2:$L$401,"&gt;20000")</f>
        <v/>
      </c>
      <c r="D19" s="9" t="inlineStr">
        <is>
          <t>Big orders in the city</t>
        </is>
      </c>
    </row>
    <row r="20">
      <c r="A20" s="9" t="inlineStr">
        <is>
          <t>AVERAGEIFS</t>
        </is>
      </c>
      <c r="B20" s="10" t="inlineStr">
        <is>
          <t>=AVERAGEIFS(Data!$L$2:$L$401,Data!$F$2:$F$401,"Laptops")</t>
        </is>
      </c>
      <c r="C20" s="38">
        <f>AVERAGEIFS(Data!$L$2:$L$401,Data!$F$2:$F$401,"Laptops")</f>
        <v/>
      </c>
      <c r="D20" s="9" t="inlineStr">
        <is>
          <t>Average laptop order</t>
        </is>
      </c>
    </row>
    <row r="21">
      <c r="A21" s="9" t="inlineStr">
        <is>
          <t>MAXIFS</t>
        </is>
      </c>
      <c r="B21" s="10" t="inlineStr">
        <is>
          <t>=MAXIFS(Data!$L$2:$L$401,Data!$D$2:$D$401,B5)</t>
        </is>
      </c>
      <c r="C21" s="38">
        <f>_xlfn.MAXIFS(Data!$L$2:$L$401,Data!$D$2:$D$401,B5)</f>
        <v/>
      </c>
      <c r="D21" s="9" t="inlineStr">
        <is>
          <t>Biggest order in the city</t>
        </is>
      </c>
    </row>
    <row r="22">
      <c r="A22" s="9" t="inlineStr">
        <is>
          <t>OR across cities</t>
        </is>
      </c>
      <c r="B22" s="10" t="inlineStr">
        <is>
          <t>=SUM(SUMIFS(Data!$L$2:$L$401,Data!$D$2:$D$401,{"Pune","Mumbai"}))</t>
        </is>
      </c>
      <c r="C22" s="38">
        <f>SUMPRODUCT(SUMIFS(Data!$L$2:$L$401,Data!$D$2:$D$401,{"Pune","Mumbai"}))</f>
        <v/>
      </c>
      <c r="D22" s="9" t="inlineStr">
        <is>
          <t>Maharashtra revenue</t>
        </is>
      </c>
    </row>
    <row r="23">
      <c r="A23" s="9" t="inlineStr">
        <is>
          <t>Conditional probability</t>
        </is>
      </c>
      <c r="B23" s="10" t="inlineStr">
        <is>
          <t>=COUNTIFS(Data!$J$2:$J$401,"Walk-in",Data!$K$2:$K$401,"Yes")/COUNTIF(Data!$J$2:$J$401,"Walk-in")</t>
        </is>
      </c>
      <c r="C23" s="40">
        <f>COUNTIFS(Data!$J$2:$J$401,"Walk-in",Data!$K$2:$K$401,"Yes")/COUNTIF(Data!$J$2:$J$401,"Walk-in")</f>
        <v/>
      </c>
      <c r="D23" s="9" t="inlineStr">
        <is>
          <t>P(warranty | walk-in)</t>
        </is>
      </c>
    </row>
    <row r="24">
      <c r="A24" s="9" t="inlineStr">
        <is>
          <t>RANK.EQ</t>
        </is>
      </c>
      <c r="B24" s="10" t="inlineStr">
        <is>
          <t>=RANK.EQ(C10,C10:C12)</t>
        </is>
      </c>
      <c r="C24" s="9" t="n"/>
      <c r="D24" s="9" t="inlineStr">
        <is>
          <t>Rank a value in a list (see Dashboard sheet)</t>
        </is>
      </c>
    </row>
    <row r="25">
      <c r="A25" s="9" t="inlineStr">
        <is>
          <t>STDEV.S</t>
        </is>
      </c>
      <c r="B25" s="10" t="inlineStr">
        <is>
          <t>=STDEV.S(Data!$L$2:$L$401)</t>
        </is>
      </c>
      <c r="C25" s="38">
        <f>_xlfn.STDEV.S(Data!$L$2:$L$401)</f>
        <v/>
      </c>
      <c r="D25" s="9" t="inlineStr">
        <is>
          <t>Spread of order values</t>
        </is>
      </c>
    </row>
    <row r="26">
      <c r="A26" s="9" t="inlineStr">
        <is>
          <t>SUBTOTAL (visible)</t>
        </is>
      </c>
      <c r="B26" s="10" t="inlineStr">
        <is>
          <t>=SUBTOTAL(109,Data!$L$2:$L$401)</t>
        </is>
      </c>
      <c r="C26" s="31">
        <f>SUBTOTAL(109,Data!$L$2:$L$401)</f>
        <v/>
      </c>
      <c r="D26" s="9" t="inlineStr">
        <is>
          <t>Sum that ignores filtered-out rows</t>
        </is>
      </c>
    </row>
  </sheetData>
  <mergeCells count="1">
    <mergeCell ref="A2:D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30" customWidth="1" min="5" max="5"/>
    <col width="30" customWidth="1" min="6" max="6"/>
    <col width="22" customWidth="1" min="7" max="7"/>
  </cols>
  <sheetData>
    <row r="1">
      <c r="A1" s="8" t="inlineStr">
        <is>
          <t>08 · Logical functions &amp; error handling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3" t="inlineStr">
        <is>
          <t>Customer tiering and data checks on sample rows (blue inputs).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← Index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4" t="inlineStr">
        <is>
          <t>Customer</t>
        </is>
      </c>
      <c r="B5" s="4" t="inlineStr">
        <is>
          <t>Spend (₹)</t>
        </is>
      </c>
      <c r="C5" s="4" t="inlineStr">
        <is>
          <t>Prime?</t>
        </is>
      </c>
      <c r="D5" s="4" t="inlineStr">
        <is>
          <t>City</t>
        </is>
      </c>
      <c r="E5" s="4" t="inlineStr">
        <is>
          <t>Tier (nested IF)</t>
        </is>
      </c>
      <c r="F5" s="4" t="inlineStr">
        <is>
          <t>Tier (IFS)</t>
        </is>
      </c>
      <c r="G5" s="4" t="inlineStr">
        <is>
          <t>Zone (SWITCH)</t>
        </is>
      </c>
    </row>
    <row r="6">
      <c r="A6" s="9" t="inlineStr">
        <is>
          <t>C01</t>
        </is>
      </c>
      <c r="B6" s="13" t="n">
        <v>72000</v>
      </c>
      <c r="C6" s="15" t="inlineStr">
        <is>
          <t>Yes</t>
        </is>
      </c>
      <c r="D6" s="15" t="inlineStr">
        <is>
          <t>Pune</t>
        </is>
      </c>
      <c r="E6" s="31">
        <f>IF(B6&gt;=50000,"Gold",IF(B6&gt;=20000,"Silver","Bronze"))</f>
        <v/>
      </c>
      <c r="F6" s="31">
        <f>_xlfn.IFS(B6&gt;=50000,"Gold",B6&gt;=20000,"Silver",TRUE,"Bronze")</f>
        <v/>
      </c>
      <c r="G6" s="31">
        <f>_xlfn.SWITCH(D6,"Pune","West","Mumbai","West","Delhi","North","South")</f>
        <v/>
      </c>
    </row>
    <row r="7">
      <c r="A7" s="9" t="inlineStr">
        <is>
          <t>C02</t>
        </is>
      </c>
      <c r="B7" s="13" t="n">
        <v>31000</v>
      </c>
      <c r="C7" s="15" t="inlineStr">
        <is>
          <t>No</t>
        </is>
      </c>
      <c r="D7" s="15" t="inlineStr">
        <is>
          <t>Delhi</t>
        </is>
      </c>
      <c r="E7" s="31">
        <f>IF(B7&gt;=50000,"Gold",IF(B7&gt;=20000,"Silver","Bronze"))</f>
        <v/>
      </c>
      <c r="F7" s="31">
        <f>_xlfn.IFS(B7&gt;=50000,"Gold",B7&gt;=20000,"Silver",TRUE,"Bronze")</f>
        <v/>
      </c>
      <c r="G7" s="31">
        <f>_xlfn.SWITCH(D7,"Pune","West","Mumbai","West","Delhi","North","South")</f>
        <v/>
      </c>
    </row>
    <row r="8">
      <c r="A8" s="9" t="inlineStr">
        <is>
          <t>C03</t>
        </is>
      </c>
      <c r="B8" s="13" t="n">
        <v>8000</v>
      </c>
      <c r="C8" s="15" t="inlineStr">
        <is>
          <t>Yes</t>
        </is>
      </c>
      <c r="D8" s="15" t="inlineStr">
        <is>
          <t>Mumbai</t>
        </is>
      </c>
      <c r="E8" s="31">
        <f>IF(B8&gt;=50000,"Gold",IF(B8&gt;=20000,"Silver","Bronze"))</f>
        <v/>
      </c>
      <c r="F8" s="31">
        <f>_xlfn.IFS(B8&gt;=50000,"Gold",B8&gt;=20000,"Silver",TRUE,"Bronze")</f>
        <v/>
      </c>
      <c r="G8" s="31">
        <f>_xlfn.SWITCH(D8,"Pune","West","Mumbai","West","Delhi","North","South")</f>
        <v/>
      </c>
    </row>
    <row r="9">
      <c r="A9" s="9" t="inlineStr">
        <is>
          <t>C04</t>
        </is>
      </c>
      <c r="B9" s="13" t="n">
        <v>0</v>
      </c>
      <c r="C9" s="15" t="inlineStr">
        <is>
          <t>No</t>
        </is>
      </c>
      <c r="D9" s="15" t="inlineStr">
        <is>
          <t>Chennai</t>
        </is>
      </c>
      <c r="E9" s="31">
        <f>IF(B9&gt;=50000,"Gold",IF(B9&gt;=20000,"Silver","Bronze"))</f>
        <v/>
      </c>
      <c r="F9" s="31">
        <f>_xlfn.IFS(B9&gt;=50000,"Gold",B9&gt;=20000,"Silver",TRUE,"Bronze")</f>
        <v/>
      </c>
      <c r="G9" s="31">
        <f>_xlfn.SWITCH(D9,"Pune","West","Mumbai","West","Delhi","North","South")</f>
        <v/>
      </c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Function</t>
        </is>
      </c>
      <c r="B11" s="4" t="inlineStr">
        <is>
          <t>Formula (row 6)</t>
        </is>
      </c>
      <c r="C11" s="4" t="inlineStr"/>
      <c r="D11" s="4" t="inlineStr"/>
      <c r="E11" s="4" t="inlineStr">
        <is>
          <t>Result</t>
        </is>
      </c>
      <c r="F11" s="4" t="inlineStr">
        <is>
          <t>Use</t>
        </is>
      </c>
      <c r="G11" s="4" t="inlineStr"/>
    </row>
    <row r="12">
      <c r="A12" s="9" t="inlineStr">
        <is>
          <t>AND</t>
        </is>
      </c>
      <c r="B12" s="10" t="inlineStr">
        <is>
          <t>=IF(AND(B6&gt;50000,C6="Yes"),"VIP","-")</t>
        </is>
      </c>
      <c r="C12" s="9" t="n"/>
      <c r="D12" s="9" t="n"/>
      <c r="E12" s="31">
        <f>IF(AND(B6&gt;50000,C6="Yes"),"VIP","-")</f>
        <v/>
      </c>
      <c r="F12" s="9" t="inlineStr">
        <is>
          <t>Both conditions</t>
        </is>
      </c>
      <c r="G12" s="9" t="n"/>
    </row>
    <row r="13">
      <c r="A13" s="9" t="inlineStr">
        <is>
          <t>OR</t>
        </is>
      </c>
      <c r="B13" s="10" t="inlineStr">
        <is>
          <t>=IF(OR(D7="Pune",D7="Mumbai"),"MH","Other")</t>
        </is>
      </c>
      <c r="C13" s="9" t="n"/>
      <c r="D13" s="9" t="n"/>
      <c r="E13" s="31">
        <f>IF(OR(D7="Pune",D7="Mumbai"),"MH","Other")</f>
        <v/>
      </c>
      <c r="F13" s="9" t="inlineStr">
        <is>
          <t>Either condition</t>
        </is>
      </c>
      <c r="G13" s="9" t="n"/>
    </row>
    <row r="14">
      <c r="A14" s="9" t="inlineStr">
        <is>
          <t>NOT</t>
        </is>
      </c>
      <c r="B14" s="10" t="inlineStr">
        <is>
          <t>=NOT(C8="Yes")</t>
        </is>
      </c>
      <c r="C14" s="9" t="n"/>
      <c r="D14" s="9" t="n"/>
      <c r="E14" s="31">
        <f>NOT(C8="Yes")</f>
        <v/>
      </c>
      <c r="F14" s="9" t="inlineStr">
        <is>
          <t>Reverse a test</t>
        </is>
      </c>
      <c r="G14" s="9" t="n"/>
    </row>
    <row r="15">
      <c r="A15" s="9" t="inlineStr">
        <is>
          <t>IFERROR</t>
        </is>
      </c>
      <c r="B15" s="10" t="inlineStr">
        <is>
          <t>=IFERROR(100000/B9,0)</t>
        </is>
      </c>
      <c r="C15" s="9" t="n"/>
      <c r="D15" s="9" t="n"/>
      <c r="E15" s="31">
        <f>IFERROR(100000/B9,0)</f>
        <v/>
      </c>
      <c r="F15" s="9" t="inlineStr">
        <is>
          <t>Avoid divide-by-zero errors</t>
        </is>
      </c>
      <c r="G15" s="9" t="n"/>
    </row>
    <row r="16">
      <c r="A16" s="9" t="inlineStr">
        <is>
          <t>IFNA</t>
        </is>
      </c>
      <c r="B16" s="10" t="inlineStr">
        <is>
          <t>=IFNA(MATCH("C09",A6:A9,0),"Not found")</t>
        </is>
      </c>
      <c r="C16" s="9" t="n"/>
      <c r="D16" s="9" t="n"/>
      <c r="E16" s="31">
        <f>_xlfn.IFNA(MATCH("C09",A6:A9,0),"Not found")</f>
        <v/>
      </c>
      <c r="F16" s="9" t="inlineStr">
        <is>
          <t>Friendly lookup miss</t>
        </is>
      </c>
      <c r="G16" s="9" t="n"/>
    </row>
    <row r="17">
      <c r="A17" s="9" t="inlineStr">
        <is>
          <t>ISNUMBER+SEARCH</t>
        </is>
      </c>
      <c r="B17" s="10" t="inlineStr">
        <is>
          <t>=ISNUMBER(SEARCH("pun",D6))</t>
        </is>
      </c>
      <c r="C17" s="9" t="n"/>
      <c r="D17" s="9" t="n"/>
      <c r="E17" s="31">
        <f>ISNUMBER(SEARCH("pun",D6))</f>
        <v/>
      </c>
      <c r="F17" s="9" t="inlineStr">
        <is>
          <t>Text contains</t>
        </is>
      </c>
      <c r="G17" s="9" t="n"/>
    </row>
  </sheetData>
  <mergeCells count="1">
    <mergeCell ref="A2:G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20" customWidth="1" min="3" max="3"/>
    <col width="36" customWidth="1" min="4" max="4"/>
  </cols>
  <sheetData>
    <row r="1">
      <c r="A1" s="8" t="inlineStr">
        <is>
          <t>09 · Lookup functions: VLOOKUP → INDEX/MATCH → XLOOKUP</t>
        </is>
      </c>
      <c r="B1" s="2" t="n"/>
      <c r="C1" s="2" t="n"/>
      <c r="D1" s="2" t="n"/>
    </row>
    <row r="2" ht="32" customHeight="1">
      <c r="A2" s="3" t="inlineStr">
        <is>
          <t>Find details for the product ID in B5. Lookup tables are on the Lookups sheet.</t>
        </is>
      </c>
      <c r="B2" s="2" t="n"/>
      <c r="C2" s="2" t="n"/>
      <c r="D2" s="2" t="n"/>
    </row>
    <row r="3">
      <c r="A3" s="6" t="inlineStr">
        <is>
          <t>← Index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11" t="inlineStr">
        <is>
          <t>Product ID</t>
        </is>
      </c>
      <c r="B5" s="36" t="inlineStr">
        <is>
          <t>P302</t>
        </is>
      </c>
      <c r="C5" s="2" t="n"/>
      <c r="D5" s="2" t="n"/>
    </row>
    <row r="6">
      <c r="A6" s="11" t="inlineStr">
        <is>
          <t>Rep sales (₹)</t>
        </is>
      </c>
      <c r="B6" s="41" t="n">
        <v>340000</v>
      </c>
      <c r="C6" s="2" t="n"/>
      <c r="D6" s="2" t="n"/>
    </row>
    <row r="7">
      <c r="A7" s="2" t="n"/>
      <c r="B7" s="2" t="n"/>
      <c r="C7" s="2" t="n"/>
      <c r="D7" s="2" t="n"/>
    </row>
    <row r="8">
      <c r="A8" s="4" t="inlineStr">
        <is>
          <t>Method</t>
        </is>
      </c>
      <c r="B8" s="4" t="inlineStr">
        <is>
          <t>Formula</t>
        </is>
      </c>
      <c r="C8" s="4" t="inlineStr">
        <is>
          <t>Result</t>
        </is>
      </c>
      <c r="D8" s="4" t="inlineStr">
        <is>
          <t>Note</t>
        </is>
      </c>
    </row>
    <row r="9">
      <c r="A9" s="9" t="inlineStr">
        <is>
          <t>VLOOKUP exact</t>
        </is>
      </c>
      <c r="B9" s="10" t="inlineStr">
        <is>
          <t>=VLOOKUP(B5,Lookups!$A$3:$E$12,2,FALSE)</t>
        </is>
      </c>
      <c r="C9" s="31">
        <f>VLOOKUP(B5,Lookups!$A$3:$E$12,2,FALSE)</f>
        <v/>
      </c>
      <c r="D9" s="9" t="inlineStr">
        <is>
          <t>Name: column 2 of the table</t>
        </is>
      </c>
    </row>
    <row r="10">
      <c r="A10" s="9" t="inlineStr">
        <is>
          <t>VLOOKUP price</t>
        </is>
      </c>
      <c r="B10" s="10" t="inlineStr">
        <is>
          <t>=VLOOKUP(B5,Lookups!$A$3:$E$12,4,FALSE)</t>
        </is>
      </c>
      <c r="C10" s="31">
        <f>VLOOKUP(B5,Lookups!$A$3:$E$12,4,FALSE)</f>
        <v/>
      </c>
      <c r="D10" s="9" t="inlineStr">
        <is>
          <t>List price</t>
        </is>
      </c>
    </row>
    <row r="11">
      <c r="A11" s="9" t="inlineStr">
        <is>
          <t>INDEX + MATCH</t>
        </is>
      </c>
      <c r="B11" s="10" t="inlineStr">
        <is>
          <t>=INDEX(Lookups!$C$3:$C$12,MATCH(B5,Lookups!$A$3:$A$12,0))</t>
        </is>
      </c>
      <c r="C11" s="31">
        <f>INDEX(Lookups!$C$3:$C$12,MATCH(B5,Lookups!$A$3:$A$12,0))</f>
        <v/>
      </c>
      <c r="D11" s="9" t="inlineStr">
        <is>
          <t>Category; works in any direction</t>
        </is>
      </c>
    </row>
    <row r="12">
      <c r="A12" s="9" t="inlineStr">
        <is>
          <t>Reverse lookup</t>
        </is>
      </c>
      <c r="B12" s="10" t="inlineStr">
        <is>
          <t>=INDEX(Lookups!$A$3:$A$12,MATCH("Charger 65W",Lookups!$B$3:$B$12,0))</t>
        </is>
      </c>
      <c r="C12" s="31">
        <f>INDEX(Lookups!$A$3:$A$12,MATCH("Charger 65W",Lookups!$B$3:$B$12,0))</f>
        <v/>
      </c>
      <c r="D12" s="9" t="inlineStr">
        <is>
          <t>ID from name (left of the key)</t>
        </is>
      </c>
    </row>
    <row r="13">
      <c r="A13" s="9" t="inlineStr">
        <is>
          <t>VLOOKUP + CHOOSE</t>
        </is>
      </c>
      <c r="B13" s="10" t="inlineStr">
        <is>
          <t>=VLOOKUP("Charger 65W",CHOOSE({1,2},Lookups!$B$3:$B$12,Lookups!$A$3:$A$12),2,FALSE)</t>
        </is>
      </c>
      <c r="C13" s="31">
        <f>VLOOKUP("Charger 65W",CHOOSE({1,2},Lookups!$B$3:$B$12,Lookups!$A$3:$A$12),2,FALSE)</f>
        <v/>
      </c>
      <c r="D13" s="9" t="inlineStr">
        <is>
          <t>Classic left-lookup trick</t>
        </is>
      </c>
    </row>
    <row r="14">
      <c r="A14" s="9" t="inlineStr">
        <is>
          <t>HLOOKUP</t>
        </is>
      </c>
      <c r="B14" s="10" t="inlineStr">
        <is>
          <t>=HLOOKUP("City",Lookups!$G$2:$J$8,3,FALSE)</t>
        </is>
      </c>
      <c r="C14" s="31">
        <f>HLOOKUP("City",Lookups!$G$2:$J$8,3,FALSE)</f>
        <v/>
      </c>
      <c r="D14" s="9" t="inlineStr">
        <is>
          <t>Look across a header row</t>
        </is>
      </c>
    </row>
    <row r="15">
      <c r="A15" s="9" t="inlineStr">
        <is>
          <t>Two-way INDEX/MATCH</t>
        </is>
      </c>
      <c r="B15" s="10" t="inlineStr">
        <is>
          <t>=INDEX(Lookups!$A$3:$E$12,MATCH(B5,Lookups!$A$3:$A$12,0),MATCH("UnitCost",Lookups!$A$2:$E$2,0))</t>
        </is>
      </c>
      <c r="C15" s="31">
        <f>INDEX(Lookups!$A$3:$E$12,MATCH(B5,Lookups!$A$3:$A$12,0),MATCH("UnitCost",Lookups!$A$2:$E$2,0))</f>
        <v/>
      </c>
      <c r="D15" s="9" t="inlineStr">
        <is>
          <t>Row by ID, column by header</t>
        </is>
      </c>
    </row>
    <row r="16">
      <c r="A16" s="9" t="inlineStr">
        <is>
          <t>Approximate (slabs)</t>
        </is>
      </c>
      <c r="B16" s="10" t="inlineStr">
        <is>
          <t>=VLOOKUP(B6,Lookups!$L$3:$M$6,2,TRUE)</t>
        </is>
      </c>
      <c r="C16" s="42">
        <f>VLOOKUP(B6,Lookups!$L$3:$M$6,2,TRUE)</f>
        <v/>
      </c>
      <c r="D16" s="9" t="inlineStr">
        <is>
          <t>Commission rate for sales in B6</t>
        </is>
      </c>
    </row>
    <row r="17">
      <c r="A17" s="9" t="inlineStr">
        <is>
          <t>Commission</t>
        </is>
      </c>
      <c r="B17" s="10" t="inlineStr">
        <is>
          <t>=B6*VLOOKUP(B6,Lookups!$L$3:$M$6,2,TRUE)</t>
        </is>
      </c>
      <c r="C17" s="38">
        <f>B6*VLOOKUP(B6,Lookups!$L$3:$M$6,2,TRUE)</f>
        <v/>
      </c>
      <c r="D17" s="9" t="inlineStr">
        <is>
          <t>₹ commission</t>
        </is>
      </c>
    </row>
    <row r="18">
      <c r="A18" s="9" t="inlineStr">
        <is>
          <t>Not-found handling</t>
        </is>
      </c>
      <c r="B18" s="10" t="inlineStr">
        <is>
          <t>=IFERROR(VLOOKUP("P999",Lookups!$A$3:$E$12,2,FALSE),"Missing")</t>
        </is>
      </c>
      <c r="C18" s="31">
        <f>IFERROR(VLOOKUP("P999",Lookups!$A$3:$E$12,2,FALSE),"Missing")</f>
        <v/>
      </c>
      <c r="D18" s="9" t="inlineStr">
        <is>
          <t>Friendly message</t>
        </is>
      </c>
    </row>
    <row r="19">
      <c r="A19" s="2" t="n"/>
      <c r="B19" s="2" t="n"/>
      <c r="C19" s="2" t="n"/>
      <c r="D19" s="2" t="n"/>
    </row>
    <row r="20">
      <c r="A20" s="11" t="inlineStr">
        <is>
          <t>Excel 365 / 2021 only (type these in Excel 365; expected result shown)</t>
        </is>
      </c>
      <c r="B20" s="2" t="n"/>
      <c r="C20" s="2" t="n"/>
      <c r="D20" s="2" t="n"/>
    </row>
    <row r="21">
      <c r="A21" s="4" t="inlineStr">
        <is>
          <t>Function</t>
        </is>
      </c>
      <c r="B21" s="4" t="inlineStr">
        <is>
          <t>Formula</t>
        </is>
      </c>
      <c r="C21" s="4" t="inlineStr">
        <is>
          <t>Expected result</t>
        </is>
      </c>
      <c r="D21" s="4" t="inlineStr">
        <is>
          <t>Why it's better</t>
        </is>
      </c>
    </row>
    <row r="22">
      <c r="A22" s="9" t="inlineStr">
        <is>
          <t>XLOOKUP</t>
        </is>
      </c>
      <c r="B22" s="10" t="inlineStr">
        <is>
          <t>=XLOOKUP(B5,Lookups!A3:A12,Lookups!B3:B12,"Missing")</t>
        </is>
      </c>
      <c r="C22" s="9" t="inlineStr">
        <is>
          <t>Bluetooth Speaker</t>
        </is>
      </c>
      <c r="D22" s="9" t="inlineStr">
        <is>
          <t>Any direction + built-in not-found</t>
        </is>
      </c>
    </row>
    <row r="23">
      <c r="A23" s="9" t="inlineStr">
        <is>
          <t>XLOOKUP whole row</t>
        </is>
      </c>
      <c r="B23" s="10" t="inlineStr">
        <is>
          <t>=XLOOKUP(B5,Lookups!A3:A12,Lookups!B3:E12)</t>
        </is>
      </c>
      <c r="C23" s="9" t="inlineStr">
        <is>
          <t>Bluetooth Speaker | Audio | 4499 | 2900</t>
        </is>
      </c>
      <c r="D23" s="9" t="inlineStr">
        <is>
          <t>Returns several columns at once</t>
        </is>
      </c>
    </row>
    <row r="24">
      <c r="A24" s="9" t="inlineStr">
        <is>
          <t>XLOOKUP slab</t>
        </is>
      </c>
      <c r="B24" s="10" t="inlineStr">
        <is>
          <t>=XLOOKUP(B6,Lookups!L3:L6,Lookups!M3:M6,,-1)</t>
        </is>
      </c>
      <c r="C24" s="9" t="inlineStr">
        <is>
          <t>3%</t>
        </is>
      </c>
      <c r="D24" s="9" t="inlineStr">
        <is>
          <t>-1 = exact or next smaller</t>
        </is>
      </c>
    </row>
    <row r="25">
      <c r="A25" s="9" t="inlineStr">
        <is>
          <t>XMATCH</t>
        </is>
      </c>
      <c r="B25" s="10" t="inlineStr">
        <is>
          <t>=XMATCH("Laptop 14in",Lookups!B3:B12)</t>
        </is>
      </c>
      <c r="C25" s="9" t="inlineStr">
        <is>
          <t>3</t>
        </is>
      </c>
      <c r="D25" s="9" t="inlineStr">
        <is>
          <t>Position, with search modes</t>
        </is>
      </c>
    </row>
  </sheetData>
  <mergeCells count="1">
    <mergeCell ref="A2:D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40" customWidth="1" min="7" max="7"/>
  </cols>
  <sheetData>
    <row r="1">
      <c r="A1" s="8" t="inlineStr">
        <is>
          <t>10 · Conditional formatting (rules already applied)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3" t="inlineStr">
        <is>
          <t>Home → Conditional Formatting → Manage Rules to see each rule. Change the blue numbers to see formats move.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← Index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4" t="inlineStr">
        <is>
          <t>Invoice</t>
        </is>
      </c>
      <c r="B5" s="4" t="inlineStr">
        <is>
          <t>Due date</t>
        </is>
      </c>
      <c r="C5" s="4" t="inlineStr">
        <is>
          <t>Status</t>
        </is>
      </c>
      <c r="D5" s="4" t="inlineStr">
        <is>
          <t>Amount (₹)</t>
        </is>
      </c>
      <c r="E5" s="4" t="inlineStr">
        <is>
          <t>Margin %</t>
        </is>
      </c>
      <c r="F5" s="4" t="inlineStr">
        <is>
          <t>Score</t>
        </is>
      </c>
      <c r="G5" s="4" t="inlineStr">
        <is>
          <t>Rules applied</t>
        </is>
      </c>
    </row>
    <row r="6">
      <c r="A6" s="43" t="inlineStr">
        <is>
          <t>INV-01</t>
        </is>
      </c>
      <c r="B6" s="44" t="n">
        <v>46295</v>
      </c>
      <c r="C6" s="45" t="inlineStr">
        <is>
          <t>Unpaid</t>
        </is>
      </c>
      <c r="D6" s="46" t="n">
        <v>52000</v>
      </c>
      <c r="E6" s="47" t="n">
        <v>0.22</v>
      </c>
      <c r="F6" s="45" t="n">
        <v>88</v>
      </c>
      <c r="G6" s="7" t="inlineStr">
        <is>
          <t>Whole row red: =AND($B6&lt;DATE(2026,10,27),$C6="Unpaid")  (overdue as of 27-Oct-2026)</t>
        </is>
      </c>
    </row>
    <row r="7">
      <c r="A7" s="43" t="inlineStr">
        <is>
          <t>INV-02</t>
        </is>
      </c>
      <c r="B7" s="44" t="n">
        <v>46341</v>
      </c>
      <c r="C7" s="45" t="inlineStr">
        <is>
          <t>Unpaid</t>
        </is>
      </c>
      <c r="D7" s="46" t="n">
        <v>18000</v>
      </c>
      <c r="E7" s="47" t="n">
        <v>-0.05</v>
      </c>
      <c r="F7" s="45" t="n">
        <v>45</v>
      </c>
      <c r="G7" s="7" t="inlineStr">
        <is>
          <t>Duplicate invoice IDs amber: =COUNTIF($A$6:$A$11,$A6)&gt;1</t>
        </is>
      </c>
    </row>
    <row r="8">
      <c r="A8" s="43" t="inlineStr">
        <is>
          <t>INV-03</t>
        </is>
      </c>
      <c r="B8" s="44" t="n">
        <v>46300</v>
      </c>
      <c r="C8" s="45" t="inlineStr">
        <is>
          <t>Paid</t>
        </is>
      </c>
      <c r="D8" s="46" t="n">
        <v>74000</v>
      </c>
      <c r="E8" s="47" t="n">
        <v>0.31</v>
      </c>
      <c r="F8" s="45" t="n">
        <v>92</v>
      </c>
      <c r="G8" s="7" t="inlineStr">
        <is>
          <t>Data bars on Amount</t>
        </is>
      </c>
    </row>
    <row r="9">
      <c r="A9" s="43" t="inlineStr">
        <is>
          <t>INV-04</t>
        </is>
      </c>
      <c r="B9" s="44" t="n">
        <v>46254</v>
      </c>
      <c r="C9" s="45" t="inlineStr">
        <is>
          <t>Unpaid</t>
        </is>
      </c>
      <c r="D9" s="46" t="n">
        <v>9000</v>
      </c>
      <c r="E9" s="47" t="n">
        <v>0.08</v>
      </c>
      <c r="F9" s="45" t="n">
        <v>61</v>
      </c>
      <c r="G9" s="7" t="inlineStr">
        <is>
          <t>Negative margin red text: Cell Value &lt; 0</t>
        </is>
      </c>
    </row>
    <row r="10">
      <c r="A10" s="43" t="inlineStr">
        <is>
          <t>INV-05</t>
        </is>
      </c>
      <c r="B10" s="44" t="n">
        <v>46357</v>
      </c>
      <c r="C10" s="45" t="inlineStr">
        <is>
          <t>Paid</t>
        </is>
      </c>
      <c r="D10" s="46" t="n">
        <v>33000</v>
      </c>
      <c r="E10" s="47" t="n">
        <v>0.15</v>
      </c>
      <c r="F10" s="45" t="n">
        <v>73</v>
      </c>
      <c r="G10" s="7" t="inlineStr">
        <is>
          <t>3-colour scale on Score</t>
        </is>
      </c>
    </row>
    <row r="11">
      <c r="A11" s="43" t="inlineStr">
        <is>
          <t>INV-01</t>
        </is>
      </c>
      <c r="B11" s="44" t="n">
        <v>46320</v>
      </c>
      <c r="C11" s="45" t="inlineStr">
        <is>
          <t>Unpaid</t>
        </is>
      </c>
      <c r="D11" s="46" t="n">
        <v>61000</v>
      </c>
      <c r="E11" s="47" t="n">
        <v>0.19</v>
      </c>
      <c r="F11" s="45" t="n">
        <v>80</v>
      </c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17" t="inlineStr">
        <is>
          <t>More custom rules to try:  zebra rows =MOD(ROW(),2)=0   ·   weekends =WEEKDAY($B6,2)&gt;5   ·   top 10% → Top/Bottom rules</t>
        </is>
      </c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7" t="inlineStr">
        <is>
          <t>Freeze panes is set on this sheet (View → Freeze Panes): rows above row 6 stay visible while scrolling.</t>
        </is>
      </c>
      <c r="B16" s="2" t="n"/>
      <c r="C16" s="2" t="n"/>
      <c r="D16" s="2" t="n"/>
      <c r="E16" s="2" t="n"/>
      <c r="F16" s="2" t="n"/>
      <c r="G16" s="2" t="n"/>
    </row>
  </sheetData>
  <mergeCells count="1">
    <mergeCell ref="A2:G2"/>
  </mergeCells>
  <conditionalFormatting sqref="A6:F11">
    <cfRule type="expression" priority="1" dxfId="0">
      <formula>AND($B6&lt;DATE(2026,10,27),$C6="Unpaid")</formula>
    </cfRule>
  </conditionalFormatting>
  <conditionalFormatting sqref="A6:A11">
    <cfRule type="expression" priority="2" dxfId="1">
      <formula>COUNTIF($A$6:$A$11,$A6)&gt;1</formula>
    </cfRule>
  </conditionalFormatting>
  <conditionalFormatting sqref="D6:D11">
    <cfRule type="dataBar" priority="3">
      <dataBar>
        <cfvo type="min"/>
        <cfvo type="max"/>
        <color rgb="005B9BD5"/>
      </dataBar>
    </cfRule>
  </conditionalFormatting>
  <conditionalFormatting sqref="E6:E11">
    <cfRule type="cellIs" priority="4" operator="lessThan" dxfId="2">
      <formula>0</formula>
    </cfRule>
  </conditionalFormatting>
  <conditionalFormatting sqref="F6:F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:C11">
    <cfRule type="iconSet" priority="6">
      <iconSet iconSet="3Symbols" showValue="1">
        <cfvo type="num" val="0"/>
        <cfvo type="num" val="0"/>
        <cfvo type="num" val="1"/>
      </iconSet>
    </cfRule>
  </conditionalFormatting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</cols>
  <sheetData>
    <row r="1">
      <c r="A1" s="8" t="inlineStr">
        <is>
          <t>11 · Data validation (drop-downs and input rules)</t>
        </is>
      </c>
      <c r="B1" s="2" t="n"/>
      <c r="C1" s="2" t="n"/>
    </row>
    <row r="2" ht="32" customHeight="1">
      <c r="A2" s="3" t="inlineStr">
        <is>
          <t>Click the yellow cells: each has a rule (Data → Data Validation).</t>
        </is>
      </c>
      <c r="B2" s="2" t="n"/>
      <c r="C2" s="2" t="n"/>
    </row>
    <row r="3">
      <c r="A3" s="6" t="inlineStr">
        <is>
          <t>← Index</t>
        </is>
      </c>
      <c r="B3" s="2" t="n"/>
      <c r="C3" s="2" t="n"/>
    </row>
    <row r="4">
      <c r="A4" s="2" t="n"/>
      <c r="B4" s="2" t="n"/>
      <c r="C4" s="2" t="n"/>
    </row>
    <row r="5">
      <c r="A5" s="11" t="inlineStr">
        <is>
          <t>City (drop-down list)</t>
        </is>
      </c>
      <c r="B5" s="48" t="inlineStr">
        <is>
          <t>Pune</t>
        </is>
      </c>
      <c r="C5" s="7" t="inlineStr">
        <is>
          <t>List source: "Mumbai,Pune,Delhi,Bengaluru,Chennai,Gurugram"</t>
        </is>
      </c>
    </row>
    <row r="6">
      <c r="A6" s="11" t="inlineStr">
        <is>
          <t>Product ID (list from a range)</t>
        </is>
      </c>
      <c r="B6" s="48" t="inlineStr">
        <is>
          <t>P101</t>
        </is>
      </c>
      <c r="C6" s="7" t="inlineStr">
        <is>
          <t>List source: =Lookups!$A$3:$A$12</t>
        </is>
      </c>
    </row>
    <row r="7">
      <c r="A7" s="11" t="inlineStr">
        <is>
          <t>Quantity (whole number 1–50)</t>
        </is>
      </c>
      <c r="B7" s="48" t="n">
        <v>2</v>
      </c>
      <c r="C7" s="7" t="inlineStr">
        <is>
          <t>Whole number between 1 and 50</t>
        </is>
      </c>
    </row>
    <row r="8">
      <c r="A8" s="11" t="inlineStr">
        <is>
          <t>Order date (FY 2026-27 only)</t>
        </is>
      </c>
      <c r="B8" s="49" t="n">
        <v>46174</v>
      </c>
      <c r="C8" s="7" t="inlineStr">
        <is>
          <t>Date between 01-Apr-2026 and 31-Mar-2027</t>
        </is>
      </c>
    </row>
    <row r="9">
      <c r="A9" s="11" t="inlineStr">
        <is>
          <t>Mobile (exactly 10 characters)</t>
        </is>
      </c>
      <c r="B9" s="48" t="inlineStr">
        <is>
          <t>9876543210</t>
        </is>
      </c>
      <c r="C9" s="7" t="inlineStr">
        <is>
          <t>Text length = 10</t>
        </is>
      </c>
    </row>
    <row r="10">
      <c r="A10" s="2" t="n"/>
      <c r="B10" s="2" t="n"/>
      <c r="C10" s="2" t="n"/>
    </row>
    <row r="11">
      <c r="A11" s="7" t="inlineStr">
        <is>
          <t>Dependent drop-down idea: name each category's product list, then use =INDIRECT(B5) as the list source of the next cell.</t>
        </is>
      </c>
      <c r="B11" s="2" t="n"/>
      <c r="C11" s="2" t="n"/>
    </row>
  </sheetData>
  <mergeCells count="1">
    <mergeCell ref="A2:C2"/>
  </mergeCells>
  <dataValidations count="5">
    <dataValidation sqref="B5" showDropDown="0" showInputMessage="1" showErrorMessage="1" allowBlank="0" errorTitle="Invalid" error="Pick a value from the list" promptTitle="Input rule" prompt="List source: &quot;Mumbai,Pune,Delhi,Bengaluru,Chennai,Gurugram&quot;" type="list">
      <formula1>"Mumbai,Pune,Delhi,Bengaluru,Chennai,Gurugram"</formula1>
    </dataValidation>
    <dataValidation sqref="B6" showDropDown="0" showInputMessage="1" showErrorMessage="1" allowBlank="0" errorTitle="Invalid" error="Pick a value from the list" promptTitle="Input rule" prompt="List source: =Lookups!$A$3:$A$12" type="list">
      <formula1>=Lookups!$A$3:$A$12</formula1>
    </dataValidation>
    <dataValidation sqref="B7" showDropDown="0" showInputMessage="1" showErrorMessage="1" allowBlank="0" error="Enter 1 to 50" promptTitle="Input rule" prompt="Whole number between 1 and 50" type="whole" operator="between">
      <formula1>1</formula1>
      <formula2>50</formula2>
    </dataValidation>
    <dataValidation sqref="B8" showDropDown="0" showInputMessage="1" showErrorMessage="1" allowBlank="0" error="Date must be in FY 2026-27" promptTitle="Input rule" prompt="Date between 01-Apr-2026 and 31-Mar-2027" type="date" operator="between">
      <formula1>DATE(2026,4,1)</formula1>
      <formula2>DATE(2027,3,31)</formula2>
    </dataValidation>
    <dataValidation sqref="B9" showDropDown="0" showInputMessage="1" showErrorMessage="1" allowBlank="0" error="10 digits required" promptTitle="Input rule" prompt="Text length = 10" type="textLength" operator="equal">
      <formula1>10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3" customWidth="1" min="4" max="4"/>
    <col width="11" customWidth="1" min="5" max="5"/>
    <col width="28" customWidth="1" min="7" max="7"/>
    <col width="14" customWidth="1" min="8" max="8"/>
  </cols>
  <sheetData>
    <row r="1">
      <c r="A1" s="8" t="inlineStr">
        <is>
          <t>12 · Sorting, filters &amp; freeze panes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>This copy of 40 orders has AutoFilter on (row 5) and frozen headers. Try: Data → Sort (City A–Z then Amount largest), filter Category = Laptops, then watch SUBTOTAL change.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← Index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4" t="inlineStr">
        <is>
          <t>OrderID</t>
        </is>
      </c>
      <c r="B5" s="4" t="inlineStr">
        <is>
          <t>OrderDate</t>
        </is>
      </c>
      <c r="C5" s="4" t="inlineStr">
        <is>
          <t>City</t>
        </is>
      </c>
      <c r="D5" s="4" t="inlineStr">
        <is>
          <t>Category</t>
        </is>
      </c>
      <c r="E5" s="4" t="inlineStr">
        <is>
          <t>Amount</t>
        </is>
      </c>
      <c r="F5" s="2" t="n"/>
      <c r="G5" s="2" t="inlineStr">
        <is>
          <t>SUM (all rows)</t>
        </is>
      </c>
      <c r="H5" s="38">
        <f>SUM(E6:E45)</f>
        <v/>
      </c>
    </row>
    <row r="6">
      <c r="A6" s="5" t="inlineStr">
        <is>
          <t>ORD-0165</t>
        </is>
      </c>
      <c r="B6" s="50" t="n">
        <v>46113</v>
      </c>
      <c r="C6" s="5" t="inlineStr">
        <is>
          <t>Mumbai</t>
        </is>
      </c>
      <c r="D6" s="5" t="inlineStr">
        <is>
          <t>Laptops</t>
        </is>
      </c>
      <c r="E6" s="51" t="n">
        <v>54999</v>
      </c>
      <c r="F6" s="2" t="n"/>
      <c r="G6" s="2" t="inlineStr">
        <is>
          <t>SUBTOTAL(109) (visible only)</t>
        </is>
      </c>
      <c r="H6" s="38">
        <f>SUBTOTAL(109,E6:E45)</f>
        <v/>
      </c>
    </row>
    <row r="7">
      <c r="A7" s="5" t="inlineStr">
        <is>
          <t>ORD-0174</t>
        </is>
      </c>
      <c r="B7" s="50" t="n">
        <v>46113</v>
      </c>
      <c r="C7" s="5" t="inlineStr">
        <is>
          <t>Bengaluru</t>
        </is>
      </c>
      <c r="D7" s="5" t="inlineStr">
        <is>
          <t>Accessories</t>
        </is>
      </c>
      <c r="E7" s="51" t="n">
        <v>1619</v>
      </c>
      <c r="F7" s="2" t="n"/>
      <c r="G7" s="2" t="n"/>
      <c r="H7" s="2" t="n"/>
    </row>
    <row r="8">
      <c r="A8" s="5" t="inlineStr">
        <is>
          <t>ORD-0334</t>
        </is>
      </c>
      <c r="B8" s="50" t="n">
        <v>46113</v>
      </c>
      <c r="C8" s="5" t="inlineStr">
        <is>
          <t>Delhi</t>
        </is>
      </c>
      <c r="D8" s="5" t="inlineStr">
        <is>
          <t>Accessories</t>
        </is>
      </c>
      <c r="E8" s="51" t="n">
        <v>1499</v>
      </c>
      <c r="F8" s="2" t="n"/>
      <c r="G8" s="7" t="inlineStr">
        <is>
          <t>Advanced Filter: Data → Advanced, criteria range G10:H11 (same row = AND).</t>
        </is>
      </c>
      <c r="H8" s="2" t="n"/>
    </row>
    <row r="9">
      <c r="A9" s="5" t="inlineStr">
        <is>
          <t>ORD-0118</t>
        </is>
      </c>
      <c r="B9" s="50" t="n">
        <v>46114</v>
      </c>
      <c r="C9" s="5" t="inlineStr">
        <is>
          <t>Bengaluru</t>
        </is>
      </c>
      <c r="D9" s="5" t="inlineStr">
        <is>
          <t>Audio</t>
        </is>
      </c>
      <c r="E9" s="51" t="n">
        <v>2849</v>
      </c>
      <c r="F9" s="2" t="n"/>
      <c r="G9" s="2" t="n"/>
      <c r="H9" s="2" t="n"/>
    </row>
    <row r="10">
      <c r="A10" s="4" t="inlineStr">
        <is>
          <t>ORD-0130</t>
        </is>
      </c>
      <c r="B10" s="52" t="n">
        <v>46114</v>
      </c>
      <c r="C10" s="4" t="inlineStr">
        <is>
          <t>Mumbai</t>
        </is>
      </c>
      <c r="D10" s="4" t="inlineStr">
        <is>
          <t>Accessories</t>
        </is>
      </c>
      <c r="E10" s="53" t="n">
        <v>4497</v>
      </c>
      <c r="F10" s="4" t="n"/>
      <c r="G10" s="4" t="inlineStr">
        <is>
          <t>City</t>
        </is>
      </c>
      <c r="H10" s="4" t="inlineStr">
        <is>
          <t>Amount</t>
        </is>
      </c>
    </row>
    <row r="11">
      <c r="A11" s="5" t="inlineStr">
        <is>
          <t>ORD-0200</t>
        </is>
      </c>
      <c r="B11" s="50" t="n">
        <v>46115</v>
      </c>
      <c r="C11" s="5" t="inlineStr">
        <is>
          <t>Pune</t>
        </is>
      </c>
      <c r="D11" s="5" t="inlineStr">
        <is>
          <t>Audio</t>
        </is>
      </c>
      <c r="E11" s="51" t="n">
        <v>4274</v>
      </c>
      <c r="F11" s="2" t="n"/>
      <c r="G11" s="2" t="inlineStr">
        <is>
          <t>Pune</t>
        </is>
      </c>
      <c r="H11" s="2" t="inlineStr">
        <is>
          <t>&gt;20000</t>
        </is>
      </c>
    </row>
    <row r="12">
      <c r="A12" s="5" t="inlineStr">
        <is>
          <t>ORD-0266</t>
        </is>
      </c>
      <c r="B12" s="50" t="n">
        <v>46115</v>
      </c>
      <c r="C12" s="5" t="inlineStr">
        <is>
          <t>Delhi</t>
        </is>
      </c>
      <c r="D12" s="5" t="inlineStr">
        <is>
          <t>Mobiles</t>
        </is>
      </c>
      <c r="E12" s="51" t="n">
        <v>62698</v>
      </c>
      <c r="F12" s="2" t="n"/>
      <c r="G12" s="2" t="n"/>
      <c r="H12" s="2" t="n"/>
    </row>
    <row r="13">
      <c r="A13" s="5" t="inlineStr">
        <is>
          <t>ORD-0327</t>
        </is>
      </c>
      <c r="B13" s="50" t="n">
        <v>46115</v>
      </c>
      <c r="C13" s="5" t="inlineStr">
        <is>
          <t>Mumbai</t>
        </is>
      </c>
      <c r="D13" s="5" t="inlineStr">
        <is>
          <t>Mobiles</t>
        </is>
      </c>
      <c r="E13" s="51" t="n">
        <v>18999</v>
      </c>
      <c r="F13" s="2" t="n"/>
      <c r="G13" s="2" t="n"/>
      <c r="H13" s="2" t="n"/>
    </row>
    <row r="14">
      <c r="A14" s="5" t="inlineStr">
        <is>
          <t>ORD-0017</t>
        </is>
      </c>
      <c r="B14" s="50" t="n">
        <v>46118</v>
      </c>
      <c r="C14" s="5" t="inlineStr">
        <is>
          <t>Chennai</t>
        </is>
      </c>
      <c r="D14" s="5" t="inlineStr">
        <is>
          <t>TV</t>
        </is>
      </c>
      <c r="E14" s="51" t="n">
        <v>32999</v>
      </c>
      <c r="F14" s="2" t="n"/>
      <c r="G14" s="2" t="n"/>
      <c r="H14" s="2" t="n"/>
    </row>
    <row r="15">
      <c r="A15" s="5" t="inlineStr">
        <is>
          <t>ORD-0277</t>
        </is>
      </c>
      <c r="B15" s="50" t="n">
        <v>46118</v>
      </c>
      <c r="C15" s="5" t="inlineStr">
        <is>
          <t>Mumbai</t>
        </is>
      </c>
      <c r="D15" s="5" t="inlineStr">
        <is>
          <t>Accessories</t>
        </is>
      </c>
      <c r="E15" s="51" t="n">
        <v>1619</v>
      </c>
      <c r="F15" s="2" t="n"/>
      <c r="G15" s="2" t="n"/>
      <c r="H15" s="2" t="n"/>
    </row>
    <row r="16">
      <c r="A16" s="5" t="inlineStr">
        <is>
          <t>ORD-0302</t>
        </is>
      </c>
      <c r="B16" s="50" t="n">
        <v>46118</v>
      </c>
      <c r="C16" s="5" t="inlineStr">
        <is>
          <t>Pune</t>
        </is>
      </c>
      <c r="D16" s="5" t="inlineStr">
        <is>
          <t>Laptops</t>
        </is>
      </c>
      <c r="E16" s="51" t="n">
        <v>284997</v>
      </c>
      <c r="F16" s="2" t="n"/>
      <c r="G16" s="2" t="n"/>
      <c r="H16" s="2" t="n"/>
    </row>
    <row r="17">
      <c r="A17" s="5" t="inlineStr">
        <is>
          <t>ORD-0397</t>
        </is>
      </c>
      <c r="B17" s="50" t="n">
        <v>46118</v>
      </c>
      <c r="C17" s="5" t="inlineStr">
        <is>
          <t>Gurugram</t>
        </is>
      </c>
      <c r="D17" s="5" t="inlineStr">
        <is>
          <t>Mobiles</t>
        </is>
      </c>
      <c r="E17" s="51" t="n">
        <v>29699</v>
      </c>
      <c r="F17" s="2" t="n"/>
      <c r="G17" s="2" t="n"/>
      <c r="H17" s="2" t="n"/>
    </row>
    <row r="18">
      <c r="A18" s="5" t="inlineStr">
        <is>
          <t>ORD-0021</t>
        </is>
      </c>
      <c r="B18" s="50" t="n">
        <v>46119</v>
      </c>
      <c r="C18" s="5" t="inlineStr">
        <is>
          <t>Mumbai</t>
        </is>
      </c>
      <c r="D18" s="5" t="inlineStr">
        <is>
          <t>Mobiles</t>
        </is>
      </c>
      <c r="E18" s="51" t="n">
        <v>32999</v>
      </c>
      <c r="F18" s="2" t="n"/>
      <c r="G18" s="2" t="n"/>
      <c r="H18" s="2" t="n"/>
    </row>
    <row r="19">
      <c r="A19" s="5" t="inlineStr">
        <is>
          <t>ORD-0381</t>
        </is>
      </c>
      <c r="B19" s="50" t="n">
        <v>46119</v>
      </c>
      <c r="C19" s="5" t="inlineStr">
        <is>
          <t>Pune</t>
        </is>
      </c>
      <c r="D19" s="5" t="inlineStr">
        <is>
          <t>TV</t>
        </is>
      </c>
      <c r="E19" s="51" t="n">
        <v>100698</v>
      </c>
      <c r="F19" s="2" t="n"/>
      <c r="G19" s="2" t="n"/>
      <c r="H19" s="2" t="n"/>
    </row>
    <row r="20">
      <c r="A20" s="5" t="inlineStr">
        <is>
          <t>ORD-0005</t>
        </is>
      </c>
      <c r="B20" s="50" t="n">
        <v>46120</v>
      </c>
      <c r="C20" s="5" t="inlineStr">
        <is>
          <t>Mumbai</t>
        </is>
      </c>
      <c r="D20" s="5" t="inlineStr">
        <is>
          <t>Accessories</t>
        </is>
      </c>
      <c r="E20" s="51" t="n">
        <v>3238</v>
      </c>
      <c r="F20" s="2" t="n"/>
      <c r="G20" s="2" t="n"/>
      <c r="H20" s="2" t="n"/>
    </row>
    <row r="21">
      <c r="A21" s="5" t="inlineStr">
        <is>
          <t>ORD-0031</t>
        </is>
      </c>
      <c r="B21" s="50" t="n">
        <v>46120</v>
      </c>
      <c r="C21" s="5" t="inlineStr">
        <is>
          <t>Bengaluru</t>
        </is>
      </c>
      <c r="D21" s="5" t="inlineStr">
        <is>
          <t>Laptops</t>
        </is>
      </c>
      <c r="E21" s="51" t="n">
        <v>94999</v>
      </c>
      <c r="F21" s="2" t="n"/>
      <c r="G21" s="2" t="n"/>
      <c r="H21" s="2" t="n"/>
    </row>
    <row r="22">
      <c r="A22" s="5" t="inlineStr">
        <is>
          <t>ORD-0138</t>
        </is>
      </c>
      <c r="B22" s="50" t="n">
        <v>46120</v>
      </c>
      <c r="C22" s="5" t="inlineStr">
        <is>
          <t>Bengaluru</t>
        </is>
      </c>
      <c r="D22" s="5" t="inlineStr">
        <is>
          <t>Audio</t>
        </is>
      </c>
      <c r="E22" s="51" t="n">
        <v>5698</v>
      </c>
      <c r="F22" s="2" t="n"/>
      <c r="G22" s="2" t="n"/>
      <c r="H22" s="2" t="n"/>
    </row>
    <row r="23">
      <c r="A23" s="5" t="inlineStr">
        <is>
          <t>ORD-0125</t>
        </is>
      </c>
      <c r="B23" s="50" t="n">
        <v>46121</v>
      </c>
      <c r="C23" s="5" t="inlineStr">
        <is>
          <t>Bengaluru</t>
        </is>
      </c>
      <c r="D23" s="5" t="inlineStr">
        <is>
          <t>Accessories</t>
        </is>
      </c>
      <c r="E23" s="51" t="n">
        <v>2998</v>
      </c>
      <c r="F23" s="2" t="n"/>
      <c r="G23" s="2" t="n"/>
      <c r="H23" s="2" t="n"/>
    </row>
    <row r="24">
      <c r="A24" s="5" t="inlineStr">
        <is>
          <t>ORD-0197</t>
        </is>
      </c>
      <c r="B24" s="50" t="n">
        <v>46121</v>
      </c>
      <c r="C24" s="5" t="inlineStr">
        <is>
          <t>Mumbai</t>
        </is>
      </c>
      <c r="D24" s="5" t="inlineStr">
        <is>
          <t>Audio</t>
        </is>
      </c>
      <c r="E24" s="51" t="n">
        <v>2999</v>
      </c>
      <c r="F24" s="2" t="n"/>
      <c r="G24" s="2" t="n"/>
      <c r="H24" s="2" t="n"/>
    </row>
    <row r="25">
      <c r="A25" s="5" t="inlineStr">
        <is>
          <t>ORD-0135</t>
        </is>
      </c>
      <c r="B25" s="50" t="n">
        <v>46122</v>
      </c>
      <c r="C25" s="5" t="inlineStr">
        <is>
          <t>Delhi</t>
        </is>
      </c>
      <c r="D25" s="5" t="inlineStr">
        <is>
          <t>Mobiles</t>
        </is>
      </c>
      <c r="E25" s="51" t="n">
        <v>17099</v>
      </c>
      <c r="F25" s="2" t="n"/>
      <c r="G25" s="2" t="n"/>
      <c r="H25" s="2" t="n"/>
    </row>
    <row r="26">
      <c r="A26" s="5" t="inlineStr">
        <is>
          <t>ORD-0247</t>
        </is>
      </c>
      <c r="B26" s="50" t="n">
        <v>46122</v>
      </c>
      <c r="C26" s="5" t="inlineStr">
        <is>
          <t>Bengaluru</t>
        </is>
      </c>
      <c r="D26" s="5" t="inlineStr">
        <is>
          <t>Accessories</t>
        </is>
      </c>
      <c r="E26" s="51" t="n">
        <v>1799</v>
      </c>
      <c r="F26" s="2" t="n"/>
      <c r="G26" s="2" t="n"/>
      <c r="H26" s="2" t="n"/>
    </row>
    <row r="27">
      <c r="A27" s="5" t="inlineStr">
        <is>
          <t>ORD-0062</t>
        </is>
      </c>
      <c r="B27" s="50" t="n">
        <v>46123</v>
      </c>
      <c r="C27" s="5" t="inlineStr">
        <is>
          <t>Chennai</t>
        </is>
      </c>
      <c r="D27" s="5" t="inlineStr">
        <is>
          <t>Mobiles</t>
        </is>
      </c>
      <c r="E27" s="51" t="n">
        <v>37998</v>
      </c>
      <c r="F27" s="2" t="n"/>
      <c r="G27" s="2" t="n"/>
      <c r="H27" s="2" t="n"/>
    </row>
    <row r="28">
      <c r="A28" s="5" t="inlineStr">
        <is>
          <t>ORD-0184</t>
        </is>
      </c>
      <c r="B28" s="50" t="n">
        <v>46123</v>
      </c>
      <c r="C28" s="5" t="inlineStr">
        <is>
          <t>Mumbai</t>
        </is>
      </c>
      <c r="D28" s="5" t="inlineStr">
        <is>
          <t>Audio</t>
        </is>
      </c>
      <c r="E28" s="51" t="n">
        <v>2699</v>
      </c>
      <c r="F28" s="2" t="n"/>
      <c r="G28" s="2" t="n"/>
      <c r="H28" s="2" t="n"/>
    </row>
    <row r="29">
      <c r="A29" s="5" t="inlineStr">
        <is>
          <t>ORD-0319</t>
        </is>
      </c>
      <c r="B29" s="50" t="n">
        <v>46123</v>
      </c>
      <c r="C29" s="5" t="inlineStr">
        <is>
          <t>Pune</t>
        </is>
      </c>
      <c r="D29" s="5" t="inlineStr">
        <is>
          <t>Audio</t>
        </is>
      </c>
      <c r="E29" s="51" t="n">
        <v>5998</v>
      </c>
      <c r="F29" s="2" t="n"/>
      <c r="G29" s="2" t="n"/>
      <c r="H29" s="2" t="n"/>
    </row>
    <row r="30">
      <c r="A30" s="5" t="inlineStr">
        <is>
          <t>ORD-0006</t>
        </is>
      </c>
      <c r="B30" s="50" t="n">
        <v>46124</v>
      </c>
      <c r="C30" s="5" t="inlineStr">
        <is>
          <t>Bengaluru</t>
        </is>
      </c>
      <c r="D30" s="5" t="inlineStr">
        <is>
          <t>Audio</t>
        </is>
      </c>
      <c r="E30" s="51" t="n">
        <v>2999</v>
      </c>
      <c r="F30" s="2" t="n"/>
      <c r="G30" s="2" t="n"/>
      <c r="H30" s="2" t="n"/>
    </row>
    <row r="31">
      <c r="A31" s="5" t="inlineStr">
        <is>
          <t>ORD-0086</t>
        </is>
      </c>
      <c r="B31" s="50" t="n">
        <v>46124</v>
      </c>
      <c r="C31" s="5" t="inlineStr">
        <is>
          <t>Bengaluru</t>
        </is>
      </c>
      <c r="D31" s="5" t="inlineStr">
        <is>
          <t>Mobiles</t>
        </is>
      </c>
      <c r="E31" s="51" t="n">
        <v>18999</v>
      </c>
      <c r="F31" s="2" t="n"/>
      <c r="G31" s="2" t="n"/>
      <c r="H31" s="2" t="n"/>
    </row>
    <row r="32">
      <c r="A32" s="5" t="inlineStr">
        <is>
          <t>ORD-0395</t>
        </is>
      </c>
      <c r="B32" s="50" t="n">
        <v>46124</v>
      </c>
      <c r="C32" s="5" t="inlineStr">
        <is>
          <t>Delhi</t>
        </is>
      </c>
      <c r="D32" s="5" t="inlineStr">
        <is>
          <t>TV</t>
        </is>
      </c>
      <c r="E32" s="51" t="n">
        <v>32999</v>
      </c>
      <c r="F32" s="2" t="n"/>
      <c r="G32" s="2" t="n"/>
      <c r="H32" s="2" t="n"/>
    </row>
    <row r="33">
      <c r="A33" s="5" t="inlineStr">
        <is>
          <t>ORD-0172</t>
        </is>
      </c>
      <c r="B33" s="50" t="n">
        <v>46125</v>
      </c>
      <c r="C33" s="5" t="inlineStr">
        <is>
          <t>Gurugram</t>
        </is>
      </c>
      <c r="D33" s="5" t="inlineStr">
        <is>
          <t>Accessories</t>
        </is>
      </c>
      <c r="E33" s="51" t="n">
        <v>1499</v>
      </c>
      <c r="F33" s="2" t="n"/>
      <c r="G33" s="2" t="n"/>
      <c r="H33" s="2" t="n"/>
    </row>
    <row r="34">
      <c r="A34" s="5" t="inlineStr">
        <is>
          <t>ORD-0236</t>
        </is>
      </c>
      <c r="B34" s="50" t="n">
        <v>46125</v>
      </c>
      <c r="C34" s="5" t="inlineStr">
        <is>
          <t>Delhi</t>
        </is>
      </c>
      <c r="D34" s="5" t="inlineStr">
        <is>
          <t>Mobiles</t>
        </is>
      </c>
      <c r="E34" s="51" t="n">
        <v>56997</v>
      </c>
      <c r="F34" s="2" t="n"/>
      <c r="G34" s="2" t="n"/>
      <c r="H34" s="2" t="n"/>
    </row>
    <row r="35">
      <c r="A35" s="5" t="inlineStr">
        <is>
          <t>ORD-0051</t>
        </is>
      </c>
      <c r="B35" s="50" t="n">
        <v>46126</v>
      </c>
      <c r="C35" s="5" t="inlineStr">
        <is>
          <t>Bengaluru</t>
        </is>
      </c>
      <c r="D35" s="5" t="inlineStr">
        <is>
          <t>Audio</t>
        </is>
      </c>
      <c r="E35" s="51" t="n">
        <v>2699</v>
      </c>
      <c r="F35" s="2" t="n"/>
      <c r="G35" s="2" t="n"/>
      <c r="H35" s="2" t="n"/>
    </row>
    <row r="36">
      <c r="A36" s="5" t="inlineStr">
        <is>
          <t>ORD-0179</t>
        </is>
      </c>
      <c r="B36" s="50" t="n">
        <v>46126</v>
      </c>
      <c r="C36" s="5" t="inlineStr">
        <is>
          <t>Mumbai</t>
        </is>
      </c>
      <c r="D36" s="5" t="inlineStr">
        <is>
          <t>TV</t>
        </is>
      </c>
      <c r="E36" s="51" t="n">
        <v>32999</v>
      </c>
      <c r="F36" s="2" t="n"/>
      <c r="G36" s="2" t="n"/>
      <c r="H36" s="2" t="n"/>
    </row>
    <row r="37">
      <c r="A37" s="5" t="inlineStr">
        <is>
          <t>ORD-0273</t>
        </is>
      </c>
      <c r="B37" s="50" t="n">
        <v>46126</v>
      </c>
      <c r="C37" s="5" t="inlineStr">
        <is>
          <t>Pune</t>
        </is>
      </c>
      <c r="D37" s="5" t="inlineStr">
        <is>
          <t>Audio</t>
        </is>
      </c>
      <c r="E37" s="51" t="n">
        <v>4049</v>
      </c>
      <c r="F37" s="2" t="n"/>
      <c r="G37" s="2" t="n"/>
      <c r="H37" s="2" t="n"/>
    </row>
    <row r="38">
      <c r="A38" s="5" t="inlineStr">
        <is>
          <t>ORD-0029</t>
        </is>
      </c>
      <c r="B38" s="50" t="n">
        <v>46127</v>
      </c>
      <c r="C38" s="5" t="inlineStr">
        <is>
          <t>Chennai</t>
        </is>
      </c>
      <c r="D38" s="5" t="inlineStr">
        <is>
          <t>TV</t>
        </is>
      </c>
      <c r="E38" s="51" t="n">
        <v>105998</v>
      </c>
      <c r="F38" s="2" t="n"/>
      <c r="G38" s="2" t="n"/>
      <c r="H38" s="2" t="n"/>
    </row>
    <row r="39">
      <c r="A39" s="5" t="inlineStr">
        <is>
          <t>ORD-0122</t>
        </is>
      </c>
      <c r="B39" s="50" t="n">
        <v>46127</v>
      </c>
      <c r="C39" s="5" t="inlineStr">
        <is>
          <t>Gurugram</t>
        </is>
      </c>
      <c r="D39" s="5" t="inlineStr">
        <is>
          <t>Audio</t>
        </is>
      </c>
      <c r="E39" s="51" t="n">
        <v>5698</v>
      </c>
      <c r="F39" s="2" t="n"/>
      <c r="G39" s="2" t="n"/>
      <c r="H39" s="2" t="n"/>
    </row>
    <row r="40">
      <c r="A40" s="5" t="inlineStr">
        <is>
          <t>ORD-0068</t>
        </is>
      </c>
      <c r="B40" s="50" t="n">
        <v>46129</v>
      </c>
      <c r="C40" s="5" t="inlineStr">
        <is>
          <t>Chennai</t>
        </is>
      </c>
      <c r="D40" s="5" t="inlineStr">
        <is>
          <t>Accessories</t>
        </is>
      </c>
      <c r="E40" s="51" t="n">
        <v>1499</v>
      </c>
      <c r="F40" s="2" t="n"/>
      <c r="G40" s="2" t="n"/>
      <c r="H40" s="2" t="n"/>
    </row>
    <row r="41">
      <c r="A41" s="5" t="inlineStr">
        <is>
          <t>ORD-0303</t>
        </is>
      </c>
      <c r="B41" s="50" t="n">
        <v>46129</v>
      </c>
      <c r="C41" s="5" t="inlineStr">
        <is>
          <t>Bengaluru</t>
        </is>
      </c>
      <c r="D41" s="5" t="inlineStr">
        <is>
          <t>Audio</t>
        </is>
      </c>
      <c r="E41" s="51" t="n">
        <v>2849</v>
      </c>
      <c r="F41" s="2" t="n"/>
      <c r="G41" s="2" t="n"/>
      <c r="H41" s="2" t="n"/>
    </row>
    <row r="42">
      <c r="A42" s="5" t="inlineStr">
        <is>
          <t>ORD-0225</t>
        </is>
      </c>
      <c r="B42" s="50" t="n">
        <v>46131</v>
      </c>
      <c r="C42" s="5" t="inlineStr">
        <is>
          <t>Bengaluru</t>
        </is>
      </c>
      <c r="D42" s="5" t="inlineStr">
        <is>
          <t>Accessories</t>
        </is>
      </c>
      <c r="E42" s="51" t="n">
        <v>1499</v>
      </c>
      <c r="F42" s="2" t="n"/>
      <c r="G42" s="2" t="n"/>
      <c r="H42" s="2" t="n"/>
    </row>
    <row r="43">
      <c r="A43" s="5" t="inlineStr">
        <is>
          <t>ORD-0085</t>
        </is>
      </c>
      <c r="B43" s="50" t="n">
        <v>46132</v>
      </c>
      <c r="C43" s="5" t="inlineStr">
        <is>
          <t>Mumbai</t>
        </is>
      </c>
      <c r="D43" s="5" t="inlineStr">
        <is>
          <t>Audio</t>
        </is>
      </c>
      <c r="E43" s="51" t="n">
        <v>2999</v>
      </c>
      <c r="F43" s="2" t="n"/>
      <c r="G43" s="2" t="n"/>
      <c r="H43" s="2" t="n"/>
    </row>
    <row r="44">
      <c r="A44" s="5" t="inlineStr">
        <is>
          <t>ORD-0132</t>
        </is>
      </c>
      <c r="B44" s="50" t="n">
        <v>46132</v>
      </c>
      <c r="C44" s="5" t="inlineStr">
        <is>
          <t>Gurugram</t>
        </is>
      </c>
      <c r="D44" s="5" t="inlineStr">
        <is>
          <t>Mobiles</t>
        </is>
      </c>
      <c r="E44" s="51" t="n">
        <v>18049</v>
      </c>
      <c r="F44" s="2" t="n"/>
      <c r="G44" s="2" t="n"/>
      <c r="H44" s="2" t="n"/>
    </row>
    <row r="45">
      <c r="A45" s="5" t="inlineStr">
        <is>
          <t>ORD-0127</t>
        </is>
      </c>
      <c r="B45" s="50" t="n">
        <v>46133</v>
      </c>
      <c r="C45" s="5" t="inlineStr">
        <is>
          <t>Mumbai</t>
        </is>
      </c>
      <c r="D45" s="5" t="inlineStr">
        <is>
          <t>Audio</t>
        </is>
      </c>
      <c r="E45" s="51" t="n">
        <v>5398</v>
      </c>
      <c r="F45" s="2" t="n"/>
      <c r="G45" s="2" t="n"/>
      <c r="H45" s="2" t="n"/>
    </row>
  </sheetData>
  <autoFilter ref="A5:E45"/>
  <mergeCells count="1">
    <mergeCell ref="A2:E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13 · Pivot tables (steps) + the same summary with formulas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>Build a real pivot from the Data sheet with the steps below. The grid on the right is a SUMIFS 'formula pivot' so you can check your numbers.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← Index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4" t="inlineStr">
        <is>
          <t>1. Click any cell in Data → Insert → PivotTable → New Worksheet.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54" t="inlineStr">
        <is>
          <t>2. Rows: City. Columns: Category. Values: Sum of Amount.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54" t="inlineStr">
        <is>
          <t>3. Value Field Settings → Number Format #,##0.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54" t="inlineStr">
        <is>
          <t>4. Right-click OrderDate in Rows → Group → Months (and Years).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54" t="inlineStr">
        <is>
          <t>5. Show Values As → % of Grand Total (or % of Row).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54" t="inlineStr">
        <is>
          <t>6. Insert → Slicer: CustomerType; Insert → Timeline: OrderDate.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54" t="inlineStr">
        <is>
          <t>7. Design → Report Layout → Tabular; Grand Totals on/off.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54" t="inlineStr">
        <is>
          <t>8. Refresh after data changes: Alt+F5; Refresh All: Ctrl+Alt+F5.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54" t="inlineStr">
        <is>
          <t>9. Calculated Field: Margin = Profit / Amount (PivotTable Analyze → Fields, Items &amp; Sets).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4" t="inlineStr">
        <is>
          <t>Sum of Amount (₹)</t>
        </is>
      </c>
      <c r="B16" s="4" t="inlineStr">
        <is>
          <t>Mobiles</t>
        </is>
      </c>
      <c r="C16" s="4" t="inlineStr">
        <is>
          <t>Laptops</t>
        </is>
      </c>
      <c r="D16" s="4" t="inlineStr">
        <is>
          <t>Audio</t>
        </is>
      </c>
      <c r="E16" s="4" t="inlineStr">
        <is>
          <t>Accessories</t>
        </is>
      </c>
      <c r="F16" s="4" t="inlineStr">
        <is>
          <t>TV</t>
        </is>
      </c>
      <c r="G16" s="4" t="inlineStr">
        <is>
          <t>Total</t>
        </is>
      </c>
      <c r="H16" s="2" t="n"/>
    </row>
    <row r="17">
      <c r="A17" s="9" t="inlineStr">
        <is>
          <t>Mumbai</t>
        </is>
      </c>
      <c r="B17" s="38">
        <f>SUMIFS(Data!$L$2:$L$401,Data!$D$2:$D$401,$A17,Data!$F$2:$F$401,B$16)</f>
        <v/>
      </c>
      <c r="C17" s="38">
        <f>SUMIFS(Data!$L$2:$L$401,Data!$D$2:$D$401,$A17,Data!$F$2:$F$401,C$16)</f>
        <v/>
      </c>
      <c r="D17" s="38">
        <f>SUMIFS(Data!$L$2:$L$401,Data!$D$2:$D$401,$A17,Data!$F$2:$F$401,D$16)</f>
        <v/>
      </c>
      <c r="E17" s="38">
        <f>SUMIFS(Data!$L$2:$L$401,Data!$D$2:$D$401,$A17,Data!$F$2:$F$401,E$16)</f>
        <v/>
      </c>
      <c r="F17" s="38">
        <f>SUMIFS(Data!$L$2:$L$401,Data!$D$2:$D$401,$A17,Data!$F$2:$F$401,F$16)</f>
        <v/>
      </c>
      <c r="G17" s="38">
        <f>SUM(B17:F17)</f>
        <v/>
      </c>
      <c r="H17" s="2" t="n"/>
    </row>
    <row r="18">
      <c r="A18" s="9" t="inlineStr">
        <is>
          <t>Pune</t>
        </is>
      </c>
      <c r="B18" s="38">
        <f>SUMIFS(Data!$L$2:$L$401,Data!$D$2:$D$401,$A18,Data!$F$2:$F$401,B$16)</f>
        <v/>
      </c>
      <c r="C18" s="38">
        <f>SUMIFS(Data!$L$2:$L$401,Data!$D$2:$D$401,$A18,Data!$F$2:$F$401,C$16)</f>
        <v/>
      </c>
      <c r="D18" s="38">
        <f>SUMIFS(Data!$L$2:$L$401,Data!$D$2:$D$401,$A18,Data!$F$2:$F$401,D$16)</f>
        <v/>
      </c>
      <c r="E18" s="38">
        <f>SUMIFS(Data!$L$2:$L$401,Data!$D$2:$D$401,$A18,Data!$F$2:$F$401,E$16)</f>
        <v/>
      </c>
      <c r="F18" s="38">
        <f>SUMIFS(Data!$L$2:$L$401,Data!$D$2:$D$401,$A18,Data!$F$2:$F$401,F$16)</f>
        <v/>
      </c>
      <c r="G18" s="38">
        <f>SUM(B18:F18)</f>
        <v/>
      </c>
      <c r="H18" s="2" t="n"/>
    </row>
    <row r="19">
      <c r="A19" s="9" t="inlineStr">
        <is>
          <t>Delhi</t>
        </is>
      </c>
      <c r="B19" s="38">
        <f>SUMIFS(Data!$L$2:$L$401,Data!$D$2:$D$401,$A19,Data!$F$2:$F$401,B$16)</f>
        <v/>
      </c>
      <c r="C19" s="38">
        <f>SUMIFS(Data!$L$2:$L$401,Data!$D$2:$D$401,$A19,Data!$F$2:$F$401,C$16)</f>
        <v/>
      </c>
      <c r="D19" s="38">
        <f>SUMIFS(Data!$L$2:$L$401,Data!$D$2:$D$401,$A19,Data!$F$2:$F$401,D$16)</f>
        <v/>
      </c>
      <c r="E19" s="38">
        <f>SUMIFS(Data!$L$2:$L$401,Data!$D$2:$D$401,$A19,Data!$F$2:$F$401,E$16)</f>
        <v/>
      </c>
      <c r="F19" s="38">
        <f>SUMIFS(Data!$L$2:$L$401,Data!$D$2:$D$401,$A19,Data!$F$2:$F$401,F$16)</f>
        <v/>
      </c>
      <c r="G19" s="38">
        <f>SUM(B19:F19)</f>
        <v/>
      </c>
      <c r="H19" s="2" t="n"/>
    </row>
    <row r="20">
      <c r="A20" s="9" t="inlineStr">
        <is>
          <t>Bengaluru</t>
        </is>
      </c>
      <c r="B20" s="38">
        <f>SUMIFS(Data!$L$2:$L$401,Data!$D$2:$D$401,$A20,Data!$F$2:$F$401,B$16)</f>
        <v/>
      </c>
      <c r="C20" s="38">
        <f>SUMIFS(Data!$L$2:$L$401,Data!$D$2:$D$401,$A20,Data!$F$2:$F$401,C$16)</f>
        <v/>
      </c>
      <c r="D20" s="38">
        <f>SUMIFS(Data!$L$2:$L$401,Data!$D$2:$D$401,$A20,Data!$F$2:$F$401,D$16)</f>
        <v/>
      </c>
      <c r="E20" s="38">
        <f>SUMIFS(Data!$L$2:$L$401,Data!$D$2:$D$401,$A20,Data!$F$2:$F$401,E$16)</f>
        <v/>
      </c>
      <c r="F20" s="38">
        <f>SUMIFS(Data!$L$2:$L$401,Data!$D$2:$D$401,$A20,Data!$F$2:$F$401,F$16)</f>
        <v/>
      </c>
      <c r="G20" s="38">
        <f>SUM(B20:F20)</f>
        <v/>
      </c>
      <c r="H20" s="2" t="n"/>
    </row>
    <row r="21">
      <c r="A21" s="9" t="inlineStr">
        <is>
          <t>Chennai</t>
        </is>
      </c>
      <c r="B21" s="38">
        <f>SUMIFS(Data!$L$2:$L$401,Data!$D$2:$D$401,$A21,Data!$F$2:$F$401,B$16)</f>
        <v/>
      </c>
      <c r="C21" s="38">
        <f>SUMIFS(Data!$L$2:$L$401,Data!$D$2:$D$401,$A21,Data!$F$2:$F$401,C$16)</f>
        <v/>
      </c>
      <c r="D21" s="38">
        <f>SUMIFS(Data!$L$2:$L$401,Data!$D$2:$D$401,$A21,Data!$F$2:$F$401,D$16)</f>
        <v/>
      </c>
      <c r="E21" s="38">
        <f>SUMIFS(Data!$L$2:$L$401,Data!$D$2:$D$401,$A21,Data!$F$2:$F$401,E$16)</f>
        <v/>
      </c>
      <c r="F21" s="38">
        <f>SUMIFS(Data!$L$2:$L$401,Data!$D$2:$D$401,$A21,Data!$F$2:$F$401,F$16)</f>
        <v/>
      </c>
      <c r="G21" s="38">
        <f>SUM(B21:F21)</f>
        <v/>
      </c>
      <c r="H21" s="2" t="n"/>
    </row>
    <row r="22">
      <c r="A22" s="9" t="inlineStr">
        <is>
          <t>Gurugram</t>
        </is>
      </c>
      <c r="B22" s="38">
        <f>SUMIFS(Data!$L$2:$L$401,Data!$D$2:$D$401,$A22,Data!$F$2:$F$401,B$16)</f>
        <v/>
      </c>
      <c r="C22" s="38">
        <f>SUMIFS(Data!$L$2:$L$401,Data!$D$2:$D$401,$A22,Data!$F$2:$F$401,C$16)</f>
        <v/>
      </c>
      <c r="D22" s="38">
        <f>SUMIFS(Data!$L$2:$L$401,Data!$D$2:$D$401,$A22,Data!$F$2:$F$401,D$16)</f>
        <v/>
      </c>
      <c r="E22" s="38">
        <f>SUMIFS(Data!$L$2:$L$401,Data!$D$2:$D$401,$A22,Data!$F$2:$F$401,E$16)</f>
        <v/>
      </c>
      <c r="F22" s="38">
        <f>SUMIFS(Data!$L$2:$L$401,Data!$D$2:$D$401,$A22,Data!$F$2:$F$401,F$16)</f>
        <v/>
      </c>
      <c r="G22" s="38">
        <f>SUM(B22:F22)</f>
        <v/>
      </c>
      <c r="H22" s="2" t="n"/>
    </row>
    <row r="23">
      <c r="A23" s="9" t="inlineStr">
        <is>
          <t>Total</t>
        </is>
      </c>
      <c r="B23" s="38">
        <f>SUM(B17:B22)</f>
        <v/>
      </c>
      <c r="C23" s="38">
        <f>SUM(C17:C22)</f>
        <v/>
      </c>
      <c r="D23" s="38">
        <f>SUM(D17:D22)</f>
        <v/>
      </c>
      <c r="E23" s="38">
        <f>SUM(E17:E22)</f>
        <v/>
      </c>
      <c r="F23" s="38">
        <f>SUM(F17:F22)</f>
        <v/>
      </c>
      <c r="G23" s="38">
        <f>SUM(G17:G22)</f>
        <v/>
      </c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17" t="inlineStr">
        <is>
          <t>Excel 365 formula pivots:  =GROUPBY(Data!D2:D401, Data!L2:L401, SUM)   and   =PIVOTBY(Data!D2:D401, Data!F2:F401, Data!L2:L401, SUM)</t>
        </is>
      </c>
      <c r="B25" s="2" t="n"/>
      <c r="C25" s="2" t="n"/>
      <c r="D25" s="2" t="n"/>
      <c r="E25" s="2" t="n"/>
      <c r="F25" s="2" t="n"/>
      <c r="G25" s="2" t="n"/>
      <c r="H25" s="2" t="n"/>
    </row>
  </sheetData>
  <mergeCells count="1">
    <mergeCell ref="A2:H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8" t="inlineStr">
        <is>
          <t>14 · What-if analysis: EMI, sensitivity grid, Goal Seek, break-even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3" t="inlineStr">
        <is>
          <t>Change the blue inputs. The grid is built with formulas (a 2-variable Data Table gives the same result: Data → What-If → Data Table).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← Index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11" t="inlineStr">
        <is>
          <t>Loan amount (₹)</t>
        </is>
      </c>
      <c r="B5" s="41" t="n">
        <v>1000000</v>
      </c>
      <c r="C5" s="2" t="n"/>
      <c r="D5" s="2" t="n"/>
      <c r="E5" s="2" t="n"/>
      <c r="F5" s="2" t="n"/>
      <c r="G5" s="2" t="n"/>
    </row>
    <row r="6">
      <c r="A6" s="11" t="inlineStr">
        <is>
          <t>Annual rate</t>
        </is>
      </c>
      <c r="B6" s="55" t="n">
        <v>0.09</v>
      </c>
      <c r="C6" s="2" t="n"/>
      <c r="D6" s="2" t="n"/>
      <c r="E6" s="2" t="n"/>
      <c r="F6" s="2" t="n"/>
      <c r="G6" s="2" t="n"/>
    </row>
    <row r="7">
      <c r="A7" s="11" t="inlineStr">
        <is>
          <t>Years</t>
        </is>
      </c>
      <c r="B7" s="56" t="n">
        <v>5</v>
      </c>
      <c r="C7" s="2" t="n"/>
      <c r="D7" s="2" t="n"/>
      <c r="E7" s="2" t="n"/>
      <c r="F7" s="2" t="n"/>
      <c r="G7" s="2" t="n"/>
    </row>
    <row r="8">
      <c r="A8" s="11" t="inlineStr">
        <is>
          <t>Monthly EMI</t>
        </is>
      </c>
      <c r="B8" s="38">
        <f>PMT(B6/12,B7*12,-B5)</f>
        <v/>
      </c>
      <c r="C8" s="17" t="inlineStr">
        <is>
          <t>=PMT(rate/12, months, -loan)</t>
        </is>
      </c>
      <c r="D8" s="2" t="n"/>
      <c r="E8" s="2" t="n"/>
      <c r="F8" s="2" t="n"/>
      <c r="G8" s="2" t="n"/>
    </row>
    <row r="9">
      <c r="A9" s="11" t="inlineStr">
        <is>
          <t>Total interest</t>
        </is>
      </c>
      <c r="B9" s="38">
        <f>B8*B7*12-B5</f>
        <v/>
      </c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11" t="inlineStr">
        <is>
          <t>EMI sensitivity: rate × years</t>
        </is>
      </c>
      <c r="B11" s="2" t="n"/>
      <c r="C11" s="2" t="n"/>
      <c r="D11" s="2" t="n"/>
      <c r="E11" s="2" t="n"/>
      <c r="F11" s="2" t="n"/>
      <c r="G11" s="2" t="n"/>
    </row>
    <row r="12">
      <c r="A12" s="4" t="inlineStr">
        <is>
          <t>Rate \ Years</t>
        </is>
      </c>
      <c r="B12" s="4" t="n">
        <v>3</v>
      </c>
      <c r="C12" s="4" t="n">
        <v>4</v>
      </c>
      <c r="D12" s="4" t="n">
        <v>5</v>
      </c>
      <c r="E12" s="4" t="n">
        <v>6</v>
      </c>
      <c r="F12" s="4" t="n">
        <v>7</v>
      </c>
      <c r="G12" s="2" t="n"/>
    </row>
    <row r="13">
      <c r="A13" s="57" t="n">
        <v>0.08</v>
      </c>
      <c r="B13" s="38">
        <f>PMT($A13/12,B$12*12,-$B$5)</f>
        <v/>
      </c>
      <c r="C13" s="38">
        <f>PMT($A13/12,C$12*12,-$B$5)</f>
        <v/>
      </c>
      <c r="D13" s="38">
        <f>PMT($A13/12,D$12*12,-$B$5)</f>
        <v/>
      </c>
      <c r="E13" s="38">
        <f>PMT($A13/12,E$12*12,-$B$5)</f>
        <v/>
      </c>
      <c r="F13" s="38">
        <f>PMT($A13/12,F$12*12,-$B$5)</f>
        <v/>
      </c>
      <c r="G13" s="2" t="n"/>
    </row>
    <row r="14">
      <c r="A14" s="57" t="n">
        <v>0.08500000000000001</v>
      </c>
      <c r="B14" s="38">
        <f>PMT($A14/12,B$12*12,-$B$5)</f>
        <v/>
      </c>
      <c r="C14" s="38">
        <f>PMT($A14/12,C$12*12,-$B$5)</f>
        <v/>
      </c>
      <c r="D14" s="38">
        <f>PMT($A14/12,D$12*12,-$B$5)</f>
        <v/>
      </c>
      <c r="E14" s="38">
        <f>PMT($A14/12,E$12*12,-$B$5)</f>
        <v/>
      </c>
      <c r="F14" s="38">
        <f>PMT($A14/12,F$12*12,-$B$5)</f>
        <v/>
      </c>
      <c r="G14" s="2" t="n"/>
    </row>
    <row r="15">
      <c r="A15" s="57" t="n">
        <v>0.09</v>
      </c>
      <c r="B15" s="38">
        <f>PMT($A15/12,B$12*12,-$B$5)</f>
        <v/>
      </c>
      <c r="C15" s="38">
        <f>PMT($A15/12,C$12*12,-$B$5)</f>
        <v/>
      </c>
      <c r="D15" s="38">
        <f>PMT($A15/12,D$12*12,-$B$5)</f>
        <v/>
      </c>
      <c r="E15" s="38">
        <f>PMT($A15/12,E$12*12,-$B$5)</f>
        <v/>
      </c>
      <c r="F15" s="38">
        <f>PMT($A15/12,F$12*12,-$B$5)</f>
        <v/>
      </c>
      <c r="G15" s="2" t="n"/>
    </row>
    <row r="16">
      <c r="A16" s="57" t="n">
        <v>0.095</v>
      </c>
      <c r="B16" s="38">
        <f>PMT($A16/12,B$12*12,-$B$5)</f>
        <v/>
      </c>
      <c r="C16" s="38">
        <f>PMT($A16/12,C$12*12,-$B$5)</f>
        <v/>
      </c>
      <c r="D16" s="38">
        <f>PMT($A16/12,D$12*12,-$B$5)</f>
        <v/>
      </c>
      <c r="E16" s="38">
        <f>PMT($A16/12,E$12*12,-$B$5)</f>
        <v/>
      </c>
      <c r="F16" s="38">
        <f>PMT($A16/12,F$12*12,-$B$5)</f>
        <v/>
      </c>
      <c r="G16" s="2" t="n"/>
    </row>
    <row r="17">
      <c r="A17" s="57" t="n">
        <v>0.1</v>
      </c>
      <c r="B17" s="38">
        <f>PMT($A17/12,B$12*12,-$B$5)</f>
        <v/>
      </c>
      <c r="C17" s="38">
        <f>PMT($A17/12,C$12*12,-$B$5)</f>
        <v/>
      </c>
      <c r="D17" s="38">
        <f>PMT($A17/12,D$12*12,-$B$5)</f>
        <v/>
      </c>
      <c r="E17" s="38">
        <f>PMT($A17/12,E$12*12,-$B$5)</f>
        <v/>
      </c>
      <c r="F17" s="38">
        <f>PMT($A17/12,F$12*12,-$B$5)</f>
        <v/>
      </c>
      <c r="G17" s="2" t="n"/>
    </row>
    <row r="18">
      <c r="A18" s="57" t="n">
        <v>0.11</v>
      </c>
      <c r="B18" s="38">
        <f>PMT($A18/12,B$12*12,-$B$5)</f>
        <v/>
      </c>
      <c r="C18" s="38">
        <f>PMT($A18/12,C$12*12,-$B$5)</f>
        <v/>
      </c>
      <c r="D18" s="38">
        <f>PMT($A18/12,D$12*12,-$B$5)</f>
        <v/>
      </c>
      <c r="E18" s="38">
        <f>PMT($A18/12,E$12*12,-$B$5)</f>
        <v/>
      </c>
      <c r="F18" s="38">
        <f>PMT($A18/12,F$12*12,-$B$5)</f>
        <v/>
      </c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11" t="inlineStr">
        <is>
          <t>Break-even</t>
        </is>
      </c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Fixed cost per month (₹)</t>
        </is>
      </c>
      <c r="B21" s="13" t="n">
        <v>450000</v>
      </c>
      <c r="C21" s="2" t="n"/>
      <c r="D21" s="2" t="n"/>
      <c r="E21" s="2" t="n"/>
      <c r="F21" s="2" t="n"/>
      <c r="G21" s="2" t="n"/>
    </row>
    <row r="22">
      <c r="A22" s="2" t="inlineStr">
        <is>
          <t>Price per unit (₹)</t>
        </is>
      </c>
      <c r="B22" s="13" t="n">
        <v>2999</v>
      </c>
      <c r="C22" s="2" t="n"/>
      <c r="D22" s="2" t="n"/>
      <c r="E22" s="2" t="n"/>
      <c r="F22" s="2" t="n"/>
      <c r="G22" s="2" t="n"/>
    </row>
    <row r="23">
      <c r="A23" s="2" t="inlineStr">
        <is>
          <t>Variable cost per unit (₹)</t>
        </is>
      </c>
      <c r="B23" s="13" t="n">
        <v>1650</v>
      </c>
      <c r="C23" s="2" t="n"/>
      <c r="D23" s="2" t="n"/>
      <c r="E23" s="2" t="n"/>
      <c r="F23" s="2" t="n"/>
      <c r="G23" s="2" t="n"/>
    </row>
    <row r="24">
      <c r="A24" s="11" t="inlineStr">
        <is>
          <t>Break-even units</t>
        </is>
      </c>
      <c r="B24" s="38">
        <f>ROUNDUP(B21/(B22-B23),0)</f>
        <v/>
      </c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7" t="inlineStr">
        <is>
          <t>Goal Seek: Data → What-If → Goal Seek → Set cell B8, To value 18000, By changing B7 (or B5) → finds the tenure/loan that gives ₹18,000 EMI.</t>
        </is>
      </c>
      <c r="B26" s="2" t="n"/>
      <c r="C26" s="2" t="n"/>
      <c r="D26" s="2" t="n"/>
      <c r="E26" s="2" t="n"/>
      <c r="F26" s="2" t="n"/>
      <c r="G26" s="2" t="n"/>
    </row>
    <row r="27">
      <c r="A27" s="7" t="inlineStr">
        <is>
          <t>Scenario Manager: save Best/Base/Worst sets of B21:B23 and create a summary report. Solver (add-in): optimise with constraints.</t>
        </is>
      </c>
      <c r="B27" s="2" t="n"/>
      <c r="C27" s="2" t="n"/>
      <c r="D27" s="2" t="n"/>
      <c r="E27" s="2" t="n"/>
      <c r="F27" s="2" t="n"/>
      <c r="G27" s="2" t="n"/>
    </row>
  </sheetData>
  <mergeCells count="1">
    <mergeCell ref="A2:G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6" customWidth="1" min="2" max="2"/>
    <col width="46" customWidth="1" min="3" max="3"/>
  </cols>
  <sheetData>
    <row r="1">
      <c r="A1" s="8" t="inlineStr">
        <is>
          <t>15 · Modern Excel 365 functions (type these in Excel 365)</t>
        </is>
      </c>
      <c r="B1" s="2" t="n"/>
      <c r="C1" s="2" t="n"/>
    </row>
    <row r="2" ht="32" customHeight="1">
      <c r="A2" s="3" t="inlineStr">
        <is>
          <t>These functions spill results into many cells. They are shown as text with the expected result computed from the Data sheet, because they need Excel 365 / 2021+.</t>
        </is>
      </c>
      <c r="B2" s="2" t="n"/>
      <c r="C2" s="2" t="n"/>
    </row>
    <row r="3">
      <c r="A3" s="6" t="inlineStr">
        <is>
          <t>← Index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Function</t>
        </is>
      </c>
      <c r="B5" s="4" t="inlineStr">
        <is>
          <t>Formula to type in Excel 365</t>
        </is>
      </c>
      <c r="C5" s="4" t="inlineStr">
        <is>
          <t>Expected result (from this data)</t>
        </is>
      </c>
    </row>
    <row r="6">
      <c r="A6" s="9" t="inlineStr">
        <is>
          <t>UNIQUE</t>
        </is>
      </c>
      <c r="B6" s="10" t="inlineStr">
        <is>
          <t>=UNIQUE(Data!D2:D401)</t>
        </is>
      </c>
      <c r="C6" s="9" t="inlineStr">
        <is>
          <t>Bengaluru, Chennai, Delhi, Gurugram, Mumbai, Pune</t>
        </is>
      </c>
    </row>
    <row r="7">
      <c r="A7" s="9" t="inlineStr">
        <is>
          <t>SORT</t>
        </is>
      </c>
      <c r="B7" s="10" t="inlineStr">
        <is>
          <t>=SORT(UNIQUE(Data!F2:F401))</t>
        </is>
      </c>
      <c r="C7" s="9" t="inlineStr">
        <is>
          <t>Accessories, Audio, Laptops, Mobiles, TV</t>
        </is>
      </c>
    </row>
    <row r="8">
      <c r="A8" s="9" t="inlineStr">
        <is>
          <t>FILTER</t>
        </is>
      </c>
      <c r="B8" s="10" t="inlineStr">
        <is>
          <t>=FILTER(Data!A2:L401,(Data!D2:D401="Pune")*(Data!L2:L401&gt;20000),"None")</t>
        </is>
      </c>
      <c r="C8" s="9" t="inlineStr">
        <is>
          <t>21 Pune orders above ₹20,000 (all columns)</t>
        </is>
      </c>
    </row>
    <row r="9">
      <c r="A9" s="9" t="inlineStr">
        <is>
          <t>GROUPBY</t>
        </is>
      </c>
      <c r="B9" s="10" t="inlineStr">
        <is>
          <t>=GROUPBY(Data!D2:D401,Data!L2:L401,SUM,,,-2)</t>
        </is>
      </c>
      <c r="C9" s="9" t="inlineStr">
        <is>
          <t>Pune 2,033,249; Delhi 2,010,827; Bengaluru 1,928,644; Mumbai 1,829,975; Chennai 1,156,409; Gurugram 994,508</t>
        </is>
      </c>
    </row>
    <row r="10">
      <c r="A10" s="9" t="inlineStr">
        <is>
          <t>PIVOTBY</t>
        </is>
      </c>
      <c r="B10" s="10" t="inlineStr">
        <is>
          <t>=PIVOTBY(Data!D2:D401,Data!F2:F401,Data!L2:L401,SUM)</t>
        </is>
      </c>
      <c r="C10" s="9" t="inlineStr">
        <is>
          <t>City × Category revenue grid (same as sheet 13)</t>
        </is>
      </c>
    </row>
    <row r="11">
      <c r="A11" s="9" t="inlineStr">
        <is>
          <t>TAKE + SORT</t>
        </is>
      </c>
      <c r="B11" s="10" t="inlineStr">
        <is>
          <t>=TAKE(SORT(Data!A2:L401,12,-1),5)</t>
        </is>
      </c>
      <c r="C11" s="9" t="inlineStr">
        <is>
          <t>Top 5 orders by amount</t>
        </is>
      </c>
    </row>
    <row r="12">
      <c r="A12" s="9" t="inlineStr">
        <is>
          <t>SEQUENCE</t>
        </is>
      </c>
      <c r="B12" s="10" t="inlineStr">
        <is>
          <t>=SEQUENCE(12,1,DATE(2026,4,1),31)</t>
        </is>
      </c>
      <c r="C12" s="9" t="inlineStr">
        <is>
          <t>12 dates ~1 month apart from 01-Apr-2026</t>
        </is>
      </c>
    </row>
    <row r="13">
      <c r="A13" s="9" t="inlineStr">
        <is>
          <t>TEXTSPLIT</t>
        </is>
      </c>
      <c r="B13" s="10" t="inlineStr">
        <is>
          <t>=TEXTSPLIT("NOR-1042-MUM","-")</t>
        </is>
      </c>
      <c r="C13" s="9" t="inlineStr">
        <is>
          <t>NOR | 1042 | MUM</t>
        </is>
      </c>
    </row>
    <row r="14">
      <c r="A14" s="9" t="inlineStr">
        <is>
          <t>TEXTBEFORE / AFTER</t>
        </is>
      </c>
      <c r="B14" s="10" t="inlineStr">
        <is>
          <t>=TEXTAFTER("asha@example.com","@")</t>
        </is>
      </c>
      <c r="C14" s="9" t="inlineStr">
        <is>
          <t>example.com</t>
        </is>
      </c>
    </row>
    <row r="15">
      <c r="A15" s="9" t="inlineStr">
        <is>
          <t>VSTACK</t>
        </is>
      </c>
      <c r="B15" s="10" t="inlineStr">
        <is>
          <t>=VSTACK(Jan!A2:E50,Feb!A2:E50)</t>
        </is>
      </c>
      <c r="C15" s="9" t="inlineStr">
        <is>
          <t>Two sheets appended into one list</t>
        </is>
      </c>
    </row>
    <row r="16">
      <c r="A16" s="9" t="inlineStr">
        <is>
          <t>LET</t>
        </is>
      </c>
      <c r="B16" s="10" t="inlineStr">
        <is>
          <t>=LET(s,SUM(Data!L2:L401),c,SUM(Data!M2:M401),(s-c)/s)</t>
        </is>
      </c>
      <c r="C16" s="9" t="inlineStr">
        <is>
          <t>Overall margin % (see 18 Dashboard)</t>
        </is>
      </c>
    </row>
    <row r="17">
      <c r="A17" s="9" t="inlineStr">
        <is>
          <t>LAMBDA (named GSTINCL)</t>
        </is>
      </c>
      <c r="B17" s="9" t="inlineStr">
        <is>
          <t>Name Manager: GSTINCL = LAMBDA(a,r,a*(1+r));  then =GSTINCL(2999,18%)</t>
        </is>
      </c>
      <c r="C17" s="9" t="inlineStr">
        <is>
          <t>3,538.82</t>
        </is>
      </c>
    </row>
    <row r="18">
      <c r="A18" s="9" t="inlineStr">
        <is>
          <t>REGEXTEST</t>
        </is>
      </c>
      <c r="B18" s="10" t="inlineStr">
        <is>
          <t>=REGEXTEST("9876543210","^[6-9]\d{9}$")</t>
        </is>
      </c>
      <c r="C18" s="9" t="inlineStr">
        <is>
          <t>TRUE (valid Indian mobile)</t>
        </is>
      </c>
    </row>
    <row r="19">
      <c r="A19" s="9" t="inlineStr">
        <is>
          <t>PERCENTOF</t>
        </is>
      </c>
      <c r="B19" s="10" t="inlineStr">
        <is>
          <t>=PERCENTOF(SUMIFS(...),Data!L2:L401)</t>
        </is>
      </c>
      <c r="C19" s="9" t="inlineStr">
        <is>
          <t>Share of total</t>
        </is>
      </c>
    </row>
    <row r="20">
      <c r="A20" s="9" t="inlineStr">
        <is>
          <t>COPILOT</t>
        </is>
      </c>
      <c r="B20" s="10" t="inlineStr">
        <is>
          <t>=COPILOT("Classify this review as Positive/Negative/Neutral",A2)</t>
        </is>
      </c>
      <c r="C20" s="9" t="inlineStr">
        <is>
          <t>AI label per row (needs Copilot licence)</t>
        </is>
      </c>
    </row>
    <row r="21">
      <c r="A21" s="9" t="inlineStr">
        <is>
          <t>PY (Python in Excel)</t>
        </is>
      </c>
      <c r="B21" s="10" t="inlineStr">
        <is>
          <t>=PY(xl("Data!A1:N401",headers=True).groupby("City")["Amount"].sum())</t>
        </is>
      </c>
      <c r="C21" s="9" t="inlineStr">
        <is>
          <t>Python result inside a cell</t>
        </is>
      </c>
    </row>
  </sheetData>
  <mergeCells count="1">
    <mergeCell ref="A2:C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50" customWidth="1" min="3" max="3"/>
  </cols>
  <sheetData>
    <row r="1">
      <c r="A1" s="8" t="inlineStr">
        <is>
          <t>16 · Power Query: repeatable cleaning (steps)</t>
        </is>
      </c>
      <c r="B1" s="2" t="n"/>
      <c r="C1" s="2" t="n"/>
    </row>
    <row r="2" ht="32" customHeight="1">
      <c r="A2" s="3" t="inlineStr">
        <is>
          <t>Do these steps on your own monthly files. Every click is recorded and replays on Refresh.</t>
        </is>
      </c>
      <c r="B2" s="2" t="n"/>
      <c r="C2" s="2" t="n"/>
    </row>
    <row r="3">
      <c r="A3" s="6" t="inlineStr">
        <is>
          <t>← Index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#</t>
        </is>
      </c>
      <c r="B5" s="4" t="inlineStr">
        <is>
          <t>Step</t>
        </is>
      </c>
      <c r="C5" s="4" t="inlineStr">
        <is>
          <t>Result</t>
        </is>
      </c>
    </row>
    <row r="6">
      <c r="A6" s="9" t="n">
        <v>1</v>
      </c>
      <c r="B6" s="9" t="inlineStr">
        <is>
          <t>Get Data → From File → From Folder → pick a folder of monthly CSVs → Combine &amp; Transform</t>
        </is>
      </c>
      <c r="C6" s="9" t="inlineStr">
        <is>
          <t>One query combining every file</t>
        </is>
      </c>
    </row>
    <row r="7">
      <c r="A7" s="9" t="n">
        <v>2</v>
      </c>
      <c r="B7" s="9" t="inlineStr">
        <is>
          <t>Check column types (ABC/123/calendar icons); set OrderDate to Date using locale English (India) for dd-mm-yyyy</t>
        </is>
      </c>
      <c r="C7" s="9" t="inlineStr">
        <is>
          <t>Correct types</t>
        </is>
      </c>
    </row>
    <row r="8">
      <c r="A8" s="9" t="n">
        <v>3</v>
      </c>
      <c r="B8" s="9" t="inlineStr">
        <is>
          <t>Home → Remove Columns (keep only needed ones)</t>
        </is>
      </c>
      <c r="C8" s="9" t="inlineStr">
        <is>
          <t>Smaller, faster</t>
        </is>
      </c>
    </row>
    <row r="9">
      <c r="A9" s="9" t="n">
        <v>4</v>
      </c>
      <c r="B9" s="9" t="inlineStr">
        <is>
          <t>Transform → Format → Trim and Clean on text columns; Replace Values for typos</t>
        </is>
      </c>
      <c r="C9" s="9" t="inlineStr">
        <is>
          <t>Clean text</t>
        </is>
      </c>
    </row>
    <row r="10">
      <c r="A10" s="9" t="n">
        <v>5</v>
      </c>
      <c r="B10" s="9" t="inlineStr">
        <is>
          <t>Filter rows: remove blanks and test orders</t>
        </is>
      </c>
      <c r="C10" s="9" t="inlineStr">
        <is>
          <t>Valid rows only</t>
        </is>
      </c>
    </row>
    <row r="11">
      <c r="A11" s="9" t="n">
        <v>6</v>
      </c>
      <c r="B11" s="9" t="inlineStr">
        <is>
          <t>Add Column → Custom Column: [Qty] * [UnitPrice] * (1 - [Discount])</t>
        </is>
      </c>
      <c r="C11" s="9" t="inlineStr">
        <is>
          <t>Amount column</t>
        </is>
      </c>
    </row>
    <row r="12">
      <c r="A12" s="9" t="n">
        <v>7</v>
      </c>
      <c r="B12" s="9" t="inlineStr">
        <is>
          <t>Home → Merge Queries with a Products query on ProductID (Left Outer) → expand Category</t>
        </is>
      </c>
      <c r="C12" s="9" t="inlineStr">
        <is>
          <t>VLOOKUP replacement</t>
        </is>
      </c>
    </row>
    <row r="13">
      <c r="A13" s="9" t="n">
        <v>8</v>
      </c>
      <c r="B13" s="9" t="inlineStr">
        <is>
          <t>Select ID columns → Transform → Unpivot Other Columns (if months are across columns)</t>
        </is>
      </c>
      <c r="C13" s="9" t="inlineStr">
        <is>
          <t>Tidy long format</t>
        </is>
      </c>
    </row>
    <row r="14">
      <c r="A14" s="9" t="n">
        <v>9</v>
      </c>
      <c r="B14" s="9" t="inlineStr">
        <is>
          <t>Transform → Group By City: Sum of Amount</t>
        </is>
      </c>
      <c r="C14" s="9" t="inlineStr">
        <is>
          <t>Optional summary</t>
        </is>
      </c>
    </row>
    <row r="15">
      <c r="A15" s="9" t="n">
        <v>10</v>
      </c>
      <c r="B15" s="9" t="inlineStr">
        <is>
          <t>Close &amp; Load To → Table (or Only Create Connection + Data Model)</t>
        </is>
      </c>
      <c r="C15" s="9" t="inlineStr">
        <is>
          <t>Output</t>
        </is>
      </c>
    </row>
    <row r="16">
      <c r="A16" s="9" t="n">
        <v>11</v>
      </c>
      <c r="B16" s="9" t="inlineStr">
        <is>
          <t>Next month: drop new file into the folder → Data → Refresh All</t>
        </is>
      </c>
      <c r="C16" s="9" t="inlineStr">
        <is>
          <t>Automation</t>
        </is>
      </c>
    </row>
    <row r="17">
      <c r="A17" s="2" t="n"/>
      <c r="B17" s="2" t="n"/>
      <c r="C17" s="2" t="n"/>
    </row>
    <row r="18">
      <c r="A18" s="2" t="n"/>
      <c r="B18" s="17" t="inlineStr">
        <is>
          <t>M code example:  = Table.AddColumn(#"Changed Type", "Amount", each [Qty] * [UnitPrice] * (1 - [Discount]), type number)</t>
        </is>
      </c>
      <c r="C18" s="2" t="n"/>
    </row>
  </sheetData>
  <mergeCells count="1">
    <mergeCell ref="A2:C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8" t="inlineStr">
        <is>
          <t>17 · Charts built from formulas (column, line, pie, combo-style)</t>
        </is>
      </c>
      <c r="B1" s="2" t="n"/>
      <c r="C1" s="2" t="n"/>
      <c r="D1" s="2" t="n"/>
    </row>
    <row r="2" ht="32" customHeight="1">
      <c r="A2" s="3" t="inlineStr">
        <is>
          <t>The tables below are live formulas on the Data sheet; the charts update when data changes.</t>
        </is>
      </c>
      <c r="B2" s="2" t="n"/>
      <c r="C2" s="2" t="n"/>
      <c r="D2" s="2" t="n"/>
    </row>
    <row r="3">
      <c r="A3" s="6" t="inlineStr">
        <is>
          <t>← Index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4" t="inlineStr">
        <is>
          <t>Month</t>
        </is>
      </c>
      <c r="B5" s="4" t="inlineStr">
        <is>
          <t>Revenue</t>
        </is>
      </c>
      <c r="C5" s="4" t="inlineStr">
        <is>
          <t>Profit</t>
        </is>
      </c>
      <c r="D5" s="4" t="inlineStr">
        <is>
          <t>Margin %</t>
        </is>
      </c>
    </row>
    <row r="6">
      <c r="A6" s="58" t="n">
        <v>46113</v>
      </c>
      <c r="B6" s="38">
        <f>SUMIFS(Data!$L$2:$L$401,Data!$B$2:$B$401,"&gt;="&amp;A6,Data!$B$2:$B$401,"&lt;="&amp;EOMONTH(A6,0))</f>
        <v/>
      </c>
      <c r="C6" s="38">
        <f>SUMIFS(Data!$N$2:$N$401,Data!$B$2:$B$401,"&gt;="&amp;A6,Data!$B$2:$B$401,"&lt;="&amp;EOMONTH(A6,0))</f>
        <v/>
      </c>
      <c r="D6" s="40">
        <f>IF(B6=0,0,C6/B6)</f>
        <v/>
      </c>
    </row>
    <row r="7">
      <c r="A7" s="58" t="n">
        <v>46143</v>
      </c>
      <c r="B7" s="38">
        <f>SUMIFS(Data!$L$2:$L$401,Data!$B$2:$B$401,"&gt;="&amp;A7,Data!$B$2:$B$401,"&lt;="&amp;EOMONTH(A7,0))</f>
        <v/>
      </c>
      <c r="C7" s="38">
        <f>SUMIFS(Data!$N$2:$N$401,Data!$B$2:$B$401,"&gt;="&amp;A7,Data!$B$2:$B$401,"&lt;="&amp;EOMONTH(A7,0))</f>
        <v/>
      </c>
      <c r="D7" s="40">
        <f>IF(B7=0,0,C7/B7)</f>
        <v/>
      </c>
    </row>
    <row r="8">
      <c r="A8" s="58" t="n">
        <v>46174</v>
      </c>
      <c r="B8" s="38">
        <f>SUMIFS(Data!$L$2:$L$401,Data!$B$2:$B$401,"&gt;="&amp;A8,Data!$B$2:$B$401,"&lt;="&amp;EOMONTH(A8,0))</f>
        <v/>
      </c>
      <c r="C8" s="38">
        <f>SUMIFS(Data!$N$2:$N$401,Data!$B$2:$B$401,"&gt;="&amp;A8,Data!$B$2:$B$401,"&lt;="&amp;EOMONTH(A8,0))</f>
        <v/>
      </c>
      <c r="D8" s="40">
        <f>IF(B8=0,0,C8/B8)</f>
        <v/>
      </c>
    </row>
    <row r="9">
      <c r="A9" s="58" t="n">
        <v>46204</v>
      </c>
      <c r="B9" s="38">
        <f>SUMIFS(Data!$L$2:$L$401,Data!$B$2:$B$401,"&gt;="&amp;A9,Data!$B$2:$B$401,"&lt;="&amp;EOMONTH(A9,0))</f>
        <v/>
      </c>
      <c r="C9" s="38">
        <f>SUMIFS(Data!$N$2:$N$401,Data!$B$2:$B$401,"&gt;="&amp;A9,Data!$B$2:$B$401,"&lt;="&amp;EOMONTH(A9,0))</f>
        <v/>
      </c>
      <c r="D9" s="40">
        <f>IF(B9=0,0,C9/B9)</f>
        <v/>
      </c>
    </row>
    <row r="10">
      <c r="A10" s="58" t="n">
        <v>46235</v>
      </c>
      <c r="B10" s="38">
        <f>SUMIFS(Data!$L$2:$L$401,Data!$B$2:$B$401,"&gt;="&amp;A10,Data!$B$2:$B$401,"&lt;="&amp;EOMONTH(A10,0))</f>
        <v/>
      </c>
      <c r="C10" s="38">
        <f>SUMIFS(Data!$N$2:$N$401,Data!$B$2:$B$401,"&gt;="&amp;A10,Data!$B$2:$B$401,"&lt;="&amp;EOMONTH(A10,0))</f>
        <v/>
      </c>
      <c r="D10" s="40">
        <f>IF(B10=0,0,C10/B10)</f>
        <v/>
      </c>
    </row>
    <row r="11">
      <c r="A11" s="58" t="n">
        <v>46266</v>
      </c>
      <c r="B11" s="38">
        <f>SUMIFS(Data!$L$2:$L$401,Data!$B$2:$B$401,"&gt;="&amp;A11,Data!$B$2:$B$401,"&lt;="&amp;EOMONTH(A11,0))</f>
        <v/>
      </c>
      <c r="C11" s="38">
        <f>SUMIFS(Data!$N$2:$N$401,Data!$B$2:$B$401,"&gt;="&amp;A11,Data!$B$2:$B$401,"&lt;="&amp;EOMONTH(A11,0))</f>
        <v/>
      </c>
      <c r="D11" s="40">
        <f>IF(B11=0,0,C11/B11)</f>
        <v/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4" t="inlineStr">
        <is>
          <t>Category</t>
        </is>
      </c>
      <c r="B14" s="4" t="inlineStr">
        <is>
          <t>Revenue</t>
        </is>
      </c>
      <c r="C14" s="2" t="n"/>
      <c r="D14" s="2" t="n"/>
    </row>
    <row r="15">
      <c r="A15" s="9" t="inlineStr">
        <is>
          <t>Mobiles</t>
        </is>
      </c>
      <c r="B15" s="38">
        <f>SUMIFS(Data!$L$2:$L$401,Data!$F$2:$F$401,A15)</f>
        <v/>
      </c>
      <c r="C15" s="2" t="n"/>
      <c r="D15" s="2" t="n"/>
    </row>
    <row r="16">
      <c r="A16" s="9" t="inlineStr">
        <is>
          <t>Laptops</t>
        </is>
      </c>
      <c r="B16" s="38">
        <f>SUMIFS(Data!$L$2:$L$401,Data!$F$2:$F$401,A16)</f>
        <v/>
      </c>
      <c r="C16" s="2" t="n"/>
      <c r="D16" s="2" t="n"/>
    </row>
    <row r="17">
      <c r="A17" s="9" t="inlineStr">
        <is>
          <t>Audio</t>
        </is>
      </c>
      <c r="B17" s="38">
        <f>SUMIFS(Data!$L$2:$L$401,Data!$F$2:$F$401,A17)</f>
        <v/>
      </c>
      <c r="C17" s="2" t="n"/>
      <c r="D17" s="2" t="n"/>
    </row>
    <row r="18">
      <c r="A18" s="9" t="inlineStr">
        <is>
          <t>Accessories</t>
        </is>
      </c>
      <c r="B18" s="38">
        <f>SUMIFS(Data!$L$2:$L$401,Data!$F$2:$F$401,A18)</f>
        <v/>
      </c>
      <c r="C18" s="2" t="n"/>
      <c r="D18" s="2" t="n"/>
    </row>
    <row r="19">
      <c r="A19" s="9" t="inlineStr">
        <is>
          <t>TV</t>
        </is>
      </c>
      <c r="B19" s="38">
        <f>SUMIFS(Data!$L$2:$L$401,Data!$F$2:$F$401,A19)</f>
        <v/>
      </c>
      <c r="C19" s="2" t="n"/>
      <c r="D19" s="2" t="n"/>
    </row>
  </sheetData>
  <mergeCells count="1">
    <mergeCell ref="A2:D2"/>
  </mergeCells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8" t="inlineStr">
        <is>
          <t>18 · Case study: monthly sales dashboard for a 6-store electronics chain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3" t="inlineStr">
        <is>
          <t>Scenario: the regional manager wants a one-page review. Pick the month in B5 (blue). Every number below is a live formula on the Data sheet (sample data).</t>
        </is>
      </c>
      <c r="B2" s="2" t="n"/>
      <c r="C2" s="2" t="n"/>
      <c r="D2" s="2" t="n"/>
      <c r="E2" s="2" t="n"/>
      <c r="F2" s="2" t="n"/>
      <c r="G2" s="2" t="n"/>
    </row>
    <row r="3">
      <c r="A3" s="6" t="inlineStr">
        <is>
          <t>← Index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11" t="inlineStr">
        <is>
          <t>Month (first day)</t>
        </is>
      </c>
      <c r="B5" s="59" t="n">
        <v>46266</v>
      </c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4" t="inlineStr">
        <is>
          <t>KPI</t>
        </is>
      </c>
      <c r="B7" s="4" t="inlineStr">
        <is>
          <t>This month</t>
        </is>
      </c>
      <c r="C7" s="4" t="inlineStr">
        <is>
          <t>Last month</t>
        </is>
      </c>
      <c r="D7" s="4" t="inlineStr">
        <is>
          <t>Change %</t>
        </is>
      </c>
      <c r="E7" s="2" t="n"/>
      <c r="F7" s="2" t="n"/>
      <c r="G7" s="2" t="n"/>
    </row>
    <row r="8">
      <c r="A8" s="9" t="inlineStr">
        <is>
          <t>Revenue (₹)</t>
        </is>
      </c>
      <c r="B8" s="38">
        <f>SUMIFS(Data!$L$2:$L$401,Data!$B$2:$B$401,"&gt;="&amp;$B$5,Data!$B$2:$B$401,"&lt;="&amp;EOMONTH($B$5,0))</f>
        <v/>
      </c>
      <c r="C8" s="38">
        <f>SUMIFS(Data!$L$2:$L$401,Data!$B$2:$B$401,"&gt;="&amp;EDATE($B$5,-1),Data!$B$2:$B$401,"&lt;="&amp;EOMONTH($B$5,-1))</f>
        <v/>
      </c>
      <c r="D8" s="60">
        <f>IFERROR(B8/C8-1,0)</f>
        <v/>
      </c>
      <c r="E8" s="2" t="n"/>
      <c r="F8" s="2" t="n"/>
      <c r="G8" s="2" t="n"/>
    </row>
    <row r="9">
      <c r="A9" s="9" t="inlineStr">
        <is>
          <t>Orders</t>
        </is>
      </c>
      <c r="B9" s="38">
        <f>COUNTIFS(Data!$B$2:$B$401,"&gt;="&amp;$B$5,Data!$B$2:$B$401,"&lt;="&amp;EOMONTH($B$5,0))</f>
        <v/>
      </c>
      <c r="C9" s="38">
        <f>COUNTIFS(Data!$B$2:$B$401,"&gt;="&amp;EDATE($B$5,-1),Data!$B$2:$B$401,"&lt;="&amp;EOMONTH($B$5,-1))</f>
        <v/>
      </c>
      <c r="D9" s="60">
        <f>IFERROR(B9/C9-1,0)</f>
        <v/>
      </c>
      <c r="E9" s="2" t="n"/>
      <c r="F9" s="2" t="n"/>
      <c r="G9" s="2" t="n"/>
    </row>
    <row r="10">
      <c r="A10" s="9" t="inlineStr">
        <is>
          <t>Avg order value (₹)</t>
        </is>
      </c>
      <c r="B10" s="38">
        <f>IFERROR(B8/B9,0)</f>
        <v/>
      </c>
      <c r="C10" s="38">
        <f>IFERROR(C8/C9,0)</f>
        <v/>
      </c>
      <c r="D10" s="60">
        <f>IFERROR(B10/C10-1,0)</f>
        <v/>
      </c>
      <c r="E10" s="2" t="n"/>
      <c r="F10" s="2" t="n"/>
      <c r="G10" s="2" t="n"/>
    </row>
    <row r="11">
      <c r="A11" s="9" t="inlineStr">
        <is>
          <t>Profit (₹)</t>
        </is>
      </c>
      <c r="B11" s="38">
        <f>SUMIFS(Data!$N$2:$N$401,Data!$B$2:$B$401,"&gt;="&amp;$B$5,Data!$B$2:$B$401,"&lt;="&amp;EOMONTH($B$5,0))</f>
        <v/>
      </c>
      <c r="C11" s="38">
        <f>SUMIFS(Data!$N$2:$N$401,Data!$B$2:$B$401,"&gt;="&amp;EDATE($B$5,-1),Data!$B$2:$B$401,"&lt;="&amp;EOMONTH($B$5,-1))</f>
        <v/>
      </c>
      <c r="D11" s="60">
        <f>IFERROR(B11/C11-1,0)</f>
        <v/>
      </c>
      <c r="E11" s="2" t="n"/>
      <c r="F11" s="2" t="n"/>
      <c r="G11" s="2" t="n"/>
    </row>
    <row r="12">
      <c r="A12" s="9" t="inlineStr">
        <is>
          <t>Margin %</t>
        </is>
      </c>
      <c r="B12" s="40">
        <f>IFERROR(B11/B8,0)</f>
        <v/>
      </c>
      <c r="C12" s="40">
        <f>IFERROR(C11/C8,0)</f>
        <v/>
      </c>
      <c r="D12" s="60">
        <f>IFERROR(B12/C12-1,0)</f>
        <v/>
      </c>
      <c r="E12" s="2" t="n"/>
      <c r="F12" s="2" t="n"/>
      <c r="G12" s="2" t="n"/>
    </row>
    <row r="13">
      <c r="A13" s="9" t="inlineStr">
        <is>
          <t>Warranty attach rate</t>
        </is>
      </c>
      <c r="B13" s="40">
        <f>IFERROR(COUNTIFS(Data!$B$2:$B$401,"&gt;="&amp;$B$5,Data!$B$2:$B$401,"&lt;="&amp;EOMONTH($B$5,0),Data!$K$2:$K$401,"Yes")/B9,0)</f>
        <v/>
      </c>
      <c r="C13" s="40">
        <f>IFERROR(COUNTIFS(Data!$B$2:$B$401,"&gt;="&amp;EDATE($B$5,-1),Data!$B$2:$B$401,"&lt;="&amp;EOMONTH($B$5,-1),Data!$K$2:$K$401,"Yes")/C9,0)</f>
        <v/>
      </c>
      <c r="D13" s="60">
        <f>IFERROR(B13/C13-1,0)</f>
        <v/>
      </c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4" t="inlineStr">
        <is>
          <t>Store league</t>
        </is>
      </c>
      <c r="B15" s="4" t="inlineStr">
        <is>
          <t>Revenue</t>
        </is>
      </c>
      <c r="C15" s="4" t="inlineStr">
        <is>
          <t>Orders</t>
        </is>
      </c>
      <c r="D15" s="4" t="inlineStr">
        <is>
          <t>AOV</t>
        </is>
      </c>
      <c r="E15" s="4" t="inlineStr">
        <is>
          <t>Rank</t>
        </is>
      </c>
      <c r="F15" s="4" t="inlineStr">
        <is>
          <t>Share %</t>
        </is>
      </c>
      <c r="G15" s="2" t="n"/>
    </row>
    <row r="16">
      <c r="A16" s="9" t="inlineStr">
        <is>
          <t>S01 Andheri, Mumbai</t>
        </is>
      </c>
      <c r="B16" s="38">
        <f>SUMIFS(Data!$L$2:$L$401,Data!$C$2:$C$401,"S01",Data!$B$2:$B$401,"&gt;="&amp;$B$5,Data!$B$2:$B$401,"&lt;="&amp;EOMONTH($B$5,0))</f>
        <v/>
      </c>
      <c r="C16" s="38">
        <f>COUNTIFS(Data!$C$2:$C$401,"S01",Data!$B$2:$B$401,"&gt;="&amp;$B$5,Data!$B$2:$B$401,"&lt;="&amp;EOMONTH($B$5,0))</f>
        <v/>
      </c>
      <c r="D16" s="38">
        <f>IFERROR(B16/C16,0)</f>
        <v/>
      </c>
      <c r="E16" s="39">
        <f>_xlfn.RANK.EQ(B16,$B$16:$B$21)</f>
        <v/>
      </c>
      <c r="F16" s="40">
        <f>IFERROR(B16/SUM($B$16:$B$21),0)</f>
        <v/>
      </c>
      <c r="G16" s="2" t="n"/>
    </row>
    <row r="17">
      <c r="A17" s="9" t="inlineStr">
        <is>
          <t>S02 FC Road, Pune</t>
        </is>
      </c>
      <c r="B17" s="38">
        <f>SUMIFS(Data!$L$2:$L$401,Data!$C$2:$C$401,"S02",Data!$B$2:$B$401,"&gt;="&amp;$B$5,Data!$B$2:$B$401,"&lt;="&amp;EOMONTH($B$5,0))</f>
        <v/>
      </c>
      <c r="C17" s="38">
        <f>COUNTIFS(Data!$C$2:$C$401,"S02",Data!$B$2:$B$401,"&gt;="&amp;$B$5,Data!$B$2:$B$401,"&lt;="&amp;EOMONTH($B$5,0))</f>
        <v/>
      </c>
      <c r="D17" s="38">
        <f>IFERROR(B17/C17,0)</f>
        <v/>
      </c>
      <c r="E17" s="39">
        <f>_xlfn.RANK.EQ(B17,$B$16:$B$21)</f>
        <v/>
      </c>
      <c r="F17" s="40">
        <f>IFERROR(B17/SUM($B$16:$B$21),0)</f>
        <v/>
      </c>
      <c r="G17" s="2" t="n"/>
    </row>
    <row r="18">
      <c r="A18" s="9" t="inlineStr">
        <is>
          <t>S03 Connaught Place, Delhi</t>
        </is>
      </c>
      <c r="B18" s="38">
        <f>SUMIFS(Data!$L$2:$L$401,Data!$C$2:$C$401,"S03",Data!$B$2:$B$401,"&gt;="&amp;$B$5,Data!$B$2:$B$401,"&lt;="&amp;EOMONTH($B$5,0))</f>
        <v/>
      </c>
      <c r="C18" s="38">
        <f>COUNTIFS(Data!$C$2:$C$401,"S03",Data!$B$2:$B$401,"&gt;="&amp;$B$5,Data!$B$2:$B$401,"&lt;="&amp;EOMONTH($B$5,0))</f>
        <v/>
      </c>
      <c r="D18" s="38">
        <f>IFERROR(B18/C18,0)</f>
        <v/>
      </c>
      <c r="E18" s="39">
        <f>_xlfn.RANK.EQ(B18,$B$16:$B$21)</f>
        <v/>
      </c>
      <c r="F18" s="40">
        <f>IFERROR(B18/SUM($B$16:$B$21),0)</f>
        <v/>
      </c>
      <c r="G18" s="2" t="n"/>
    </row>
    <row r="19">
      <c r="A19" s="9" t="inlineStr">
        <is>
          <t>S04 Indiranagar, Bengaluru</t>
        </is>
      </c>
      <c r="B19" s="38">
        <f>SUMIFS(Data!$L$2:$L$401,Data!$C$2:$C$401,"S04",Data!$B$2:$B$401,"&gt;="&amp;$B$5,Data!$B$2:$B$401,"&lt;="&amp;EOMONTH($B$5,0))</f>
        <v/>
      </c>
      <c r="C19" s="38">
        <f>COUNTIFS(Data!$C$2:$C$401,"S04",Data!$B$2:$B$401,"&gt;="&amp;$B$5,Data!$B$2:$B$401,"&lt;="&amp;EOMONTH($B$5,0))</f>
        <v/>
      </c>
      <c r="D19" s="38">
        <f>IFERROR(B19/C19,0)</f>
        <v/>
      </c>
      <c r="E19" s="39">
        <f>_xlfn.RANK.EQ(B19,$B$16:$B$21)</f>
        <v/>
      </c>
      <c r="F19" s="40">
        <f>IFERROR(B19/SUM($B$16:$B$21),0)</f>
        <v/>
      </c>
      <c r="G19" s="2" t="n"/>
    </row>
    <row r="20">
      <c r="A20" s="9" t="inlineStr">
        <is>
          <t>S05 T Nagar, Chennai</t>
        </is>
      </c>
      <c r="B20" s="38">
        <f>SUMIFS(Data!$L$2:$L$401,Data!$C$2:$C$401,"S05",Data!$B$2:$B$401,"&gt;="&amp;$B$5,Data!$B$2:$B$401,"&lt;="&amp;EOMONTH($B$5,0))</f>
        <v/>
      </c>
      <c r="C20" s="38">
        <f>COUNTIFS(Data!$C$2:$C$401,"S05",Data!$B$2:$B$401,"&gt;="&amp;$B$5,Data!$B$2:$B$401,"&lt;="&amp;EOMONTH($B$5,0))</f>
        <v/>
      </c>
      <c r="D20" s="38">
        <f>IFERROR(B20/C20,0)</f>
        <v/>
      </c>
      <c r="E20" s="39">
        <f>_xlfn.RANK.EQ(B20,$B$16:$B$21)</f>
        <v/>
      </c>
      <c r="F20" s="40">
        <f>IFERROR(B20/SUM($B$16:$B$21),0)</f>
        <v/>
      </c>
      <c r="G20" s="2" t="n"/>
    </row>
    <row r="21">
      <c r="A21" s="9" t="inlineStr">
        <is>
          <t>S06 Cyber Hub, Gurugram</t>
        </is>
      </c>
      <c r="B21" s="38">
        <f>SUMIFS(Data!$L$2:$L$401,Data!$C$2:$C$401,"S06",Data!$B$2:$B$401,"&gt;="&amp;$B$5,Data!$B$2:$B$401,"&lt;="&amp;EOMONTH($B$5,0))</f>
        <v/>
      </c>
      <c r="C21" s="38">
        <f>COUNTIFS(Data!$C$2:$C$401,"S06",Data!$B$2:$B$401,"&gt;="&amp;$B$5,Data!$B$2:$B$401,"&lt;="&amp;EOMONTH($B$5,0))</f>
        <v/>
      </c>
      <c r="D21" s="38">
        <f>IFERROR(B21/C21,0)</f>
        <v/>
      </c>
      <c r="E21" s="39">
        <f>_xlfn.RANK.EQ(B21,$B$16:$B$21)</f>
        <v/>
      </c>
      <c r="F21" s="40">
        <f>IFERROR(B21/SUM($B$16:$B$21),0)</f>
        <v/>
      </c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Category</t>
        </is>
      </c>
      <c r="B23" s="4" t="inlineStr">
        <is>
          <t>Revenue</t>
        </is>
      </c>
      <c r="C23" s="4" t="inlineStr">
        <is>
          <t>Profit</t>
        </is>
      </c>
      <c r="D23" s="4" t="inlineStr">
        <is>
          <t>Margin %</t>
        </is>
      </c>
      <c r="E23" s="2" t="n"/>
      <c r="F23" s="2" t="n"/>
      <c r="G23" s="2" t="n"/>
    </row>
    <row r="24">
      <c r="A24" s="9" t="inlineStr">
        <is>
          <t>Mobiles</t>
        </is>
      </c>
      <c r="B24" s="38">
        <f>SUMIFS(Data!$L$2:$L$401,Data!$F$2:$F$401,A24,Data!$B$2:$B$401,"&gt;="&amp;$B$5,Data!$B$2:$B$401,"&lt;="&amp;EOMONTH($B$5,0))</f>
        <v/>
      </c>
      <c r="C24" s="38">
        <f>SUMIFS(Data!$N$2:$N$401,Data!$F$2:$F$401,A24,Data!$B$2:$B$401,"&gt;="&amp;$B$5,Data!$B$2:$B$401,"&lt;="&amp;EOMONTH($B$5,0))</f>
        <v/>
      </c>
      <c r="D24" s="40">
        <f>IFERROR(C24/B24,0)</f>
        <v/>
      </c>
      <c r="E24" s="2" t="n"/>
      <c r="F24" s="2" t="n"/>
      <c r="G24" s="2" t="n"/>
    </row>
    <row r="25">
      <c r="A25" s="9" t="inlineStr">
        <is>
          <t>Laptops</t>
        </is>
      </c>
      <c r="B25" s="38">
        <f>SUMIFS(Data!$L$2:$L$401,Data!$F$2:$F$401,A25,Data!$B$2:$B$401,"&gt;="&amp;$B$5,Data!$B$2:$B$401,"&lt;="&amp;EOMONTH($B$5,0))</f>
        <v/>
      </c>
      <c r="C25" s="38">
        <f>SUMIFS(Data!$N$2:$N$401,Data!$F$2:$F$401,A25,Data!$B$2:$B$401,"&gt;="&amp;$B$5,Data!$B$2:$B$401,"&lt;="&amp;EOMONTH($B$5,0))</f>
        <v/>
      </c>
      <c r="D25" s="40">
        <f>IFERROR(C25/B25,0)</f>
        <v/>
      </c>
      <c r="E25" s="2" t="n"/>
      <c r="F25" s="2" t="n"/>
      <c r="G25" s="2" t="n"/>
    </row>
    <row r="26">
      <c r="A26" s="9" t="inlineStr">
        <is>
          <t>Audio</t>
        </is>
      </c>
      <c r="B26" s="38">
        <f>SUMIFS(Data!$L$2:$L$401,Data!$F$2:$F$401,A26,Data!$B$2:$B$401,"&gt;="&amp;$B$5,Data!$B$2:$B$401,"&lt;="&amp;EOMONTH($B$5,0))</f>
        <v/>
      </c>
      <c r="C26" s="38">
        <f>SUMIFS(Data!$N$2:$N$401,Data!$F$2:$F$401,A26,Data!$B$2:$B$401,"&gt;="&amp;$B$5,Data!$B$2:$B$401,"&lt;="&amp;EOMONTH($B$5,0))</f>
        <v/>
      </c>
      <c r="D26" s="40">
        <f>IFERROR(C26/B26,0)</f>
        <v/>
      </c>
      <c r="E26" s="2" t="n"/>
      <c r="F26" s="2" t="n"/>
      <c r="G26" s="2" t="n"/>
    </row>
    <row r="27">
      <c r="A27" s="9" t="inlineStr">
        <is>
          <t>Accessories</t>
        </is>
      </c>
      <c r="B27" s="38">
        <f>SUMIFS(Data!$L$2:$L$401,Data!$F$2:$F$401,A27,Data!$B$2:$B$401,"&gt;="&amp;$B$5,Data!$B$2:$B$401,"&lt;="&amp;EOMONTH($B$5,0))</f>
        <v/>
      </c>
      <c r="C27" s="38">
        <f>SUMIFS(Data!$N$2:$N$401,Data!$F$2:$F$401,A27,Data!$B$2:$B$401,"&gt;="&amp;$B$5,Data!$B$2:$B$401,"&lt;="&amp;EOMONTH($B$5,0))</f>
        <v/>
      </c>
      <c r="D27" s="40">
        <f>IFERROR(C27/B27,0)</f>
        <v/>
      </c>
      <c r="E27" s="2" t="n"/>
      <c r="F27" s="2" t="n"/>
      <c r="G27" s="2" t="n"/>
    </row>
    <row r="28">
      <c r="A28" s="9" t="inlineStr">
        <is>
          <t>TV</t>
        </is>
      </c>
      <c r="B28" s="38">
        <f>SUMIFS(Data!$L$2:$L$401,Data!$F$2:$F$401,A28,Data!$B$2:$B$401,"&gt;="&amp;$B$5,Data!$B$2:$B$401,"&lt;="&amp;EOMONTH($B$5,0))</f>
        <v/>
      </c>
      <c r="C28" s="38">
        <f>SUMIFS(Data!$N$2:$N$401,Data!$F$2:$F$401,A28,Data!$B$2:$B$401,"&gt;="&amp;$B$5,Data!$B$2:$B$401,"&lt;="&amp;EOMONTH($B$5,0))</f>
        <v/>
      </c>
      <c r="D28" s="40">
        <f>IFERROR(C28/B28,0)</f>
        <v/>
      </c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11" t="inlineStr">
        <is>
          <t>Headline (auto):</t>
        </is>
      </c>
      <c r="B30" s="61">
        <f>"Revenue "&amp;TEXT(B8,"₹#,##0")&amp;" ("&amp;TEXT(D8,"+0.0%;-0.0%")&amp;" vs last month). Top store: "&amp;INDEX(A16:A21,MATCH(1,E16:E21,0))&amp;"."</f>
        <v/>
      </c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7" t="inlineStr">
        <is>
          <t>Questions this dashboard answers: Which store leads? Is revenue growing month on month? Which categories earn the best margin? Is warranty attachment improving?</t>
        </is>
      </c>
      <c r="B33" s="2" t="n"/>
      <c r="C33" s="2" t="n"/>
      <c r="D33" s="2" t="n"/>
      <c r="E33" s="2" t="n"/>
      <c r="F33" s="2" t="n"/>
      <c r="G33" s="2" t="n"/>
    </row>
  </sheetData>
  <mergeCells count="2">
    <mergeCell ref="B30:G30"/>
    <mergeCell ref="A2:G2"/>
  </mergeCells>
  <conditionalFormatting sqref="B16:B21">
    <cfRule type="dataBar" priority="1">
      <dataBar>
        <cfvo type="num" val="0"/>
        <cfvo type="max"/>
        <color rgb="005B9BD5"/>
      </dataBar>
    </cfRule>
  </conditionalFormatting>
  <conditionalFormatting sqref="E16:E21">
    <cfRule type="cellIs" priority="2" operator="equal" dxfId="3">
      <formula>1</formula>
    </cfRule>
  </conditionalFormatting>
  <conditionalFormatting sqref="D24:D28">
    <cfRule type="colorScale" priority="3">
      <colorScale>
        <cfvo type="min"/>
        <cfvo type="max"/>
        <color rgb="00F8696B"/>
        <color rgb="0063BE7B"/>
      </colorScale>
    </cfRule>
  </conditionalFormatting>
  <dataValidations count="1">
    <dataValidation sqref="B5" showDropDown="0" showInputMessage="0" showErrorMessage="1" allowBlank="0" type="list">
      <formula1>'17 Charts'!$A$6:$A$11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19 · Automation &amp; AI in Excel</t>
        </is>
      </c>
      <c r="B1" s="2" t="n"/>
    </row>
    <row r="2" ht="32" customHeight="1">
      <c r="A2" s="3" t="inlineStr">
        <is>
          <t>Copy these into Excel to try them. VBA needs the file saved as .xlsm; Copilot features need a Microsoft 365 Copilot licence.</t>
        </is>
      </c>
      <c r="B2" s="2" t="n"/>
    </row>
    <row r="3">
      <c r="A3" s="6" t="inlineStr">
        <is>
          <t>← Index</t>
        </is>
      </c>
      <c r="B3" s="2" t="n"/>
    </row>
    <row r="4">
      <c r="A4" s="2" t="n"/>
      <c r="B4" s="2" t="n"/>
    </row>
    <row r="5">
      <c r="A5" s="4" t="inlineStr">
        <is>
          <t>Technique</t>
        </is>
      </c>
      <c r="B5" s="4" t="inlineStr">
        <is>
          <t>How / code</t>
        </is>
      </c>
    </row>
    <row r="6" ht="18" customHeight="1">
      <c r="A6" s="9" t="inlineStr">
        <is>
          <t>Record a macro</t>
        </is>
      </c>
      <c r="B6" s="9" t="inlineStr">
        <is>
          <t>View → Macros → Record Macro → do the steps → Stop. Edit with Alt+F11.</t>
        </is>
      </c>
    </row>
    <row r="7" ht="105" customHeight="1">
      <c r="A7" s="9" t="inlineStr">
        <is>
          <t>VBA: format every sheet</t>
        </is>
      </c>
      <c r="B7" s="10" t="inlineStr">
        <is>
          <t>Sub FormatAll()
  Dim ws As Worksheet
  For Each ws In ThisWorkbook.Worksheets
    ws.Rows(1).Font.Bold = True
    ws.Columns.AutoFit
  Next ws
End Sub</t>
        </is>
      </c>
    </row>
    <row r="8" ht="90" customHeight="1">
      <c r="A8" s="9" t="inlineStr">
        <is>
          <t>VBA: export each sheet to PDF</t>
        </is>
      </c>
      <c r="B8" s="10" t="inlineStr">
        <is>
          <t>Sub ExportPDFs()
  Dim ws As Worksheet
  For Each ws In ThisWorkbook.Worksheets
    ws.ExportAsFixedFormat xlTypePDF, ThisWorkbook.Path &amp; "\" &amp; ws.Name &amp; ".pdf"
  Next ws
End Sub</t>
        </is>
      </c>
    </row>
    <row r="9" ht="18" customHeight="1">
      <c r="A9" s="9" t="inlineStr">
        <is>
          <t>Office Script + Power Automate</t>
        </is>
      </c>
      <c r="B9" s="9" t="inlineStr">
        <is>
          <t>Excel for the web → Automate → Record Actions; then in Power Automate: Recurrence (Monday 9:00) → Run script → Send email with the file.</t>
        </is>
      </c>
    </row>
    <row r="10" ht="60" customHeight="1">
      <c r="A10" s="9" t="inlineStr">
        <is>
          <t>Copilot prompts</t>
        </is>
      </c>
      <c r="B10" s="10" t="inlineStr">
        <is>
          <t>• "Add a column for profit margin and highlight negatives"
• "Create a PivotTable of revenue by City and Category"
• "Explain the formula in B30 of the dashboard"
• "What are the top 3 insights in this data?"</t>
        </is>
      </c>
    </row>
    <row r="11" ht="18" customHeight="1">
      <c r="A11" s="9" t="inlineStr">
        <is>
          <t>COPILOT function</t>
        </is>
      </c>
      <c r="B11" s="10" t="inlineStr">
        <is>
          <t>=COPILOT("Classify this customer review as Positive, Negative or Neutral", C2)</t>
        </is>
      </c>
    </row>
    <row r="12" ht="18" customHeight="1">
      <c r="A12" s="9" t="inlineStr">
        <is>
          <t>Python in Excel</t>
        </is>
      </c>
      <c r="B12" s="10" t="inlineStr">
        <is>
          <t>=PY(xl("Data!A1:N401", headers=True).groupby("City")["Amount"].sum())</t>
        </is>
      </c>
    </row>
    <row r="13" ht="18" customHeight="1">
      <c r="A13" s="9" t="inlineStr">
        <is>
          <t>External AI (ChatGPT / Claude / Gemini)</t>
        </is>
      </c>
      <c r="B13" s="9" t="inlineStr">
        <is>
          <t>"My sheet has columns OrderDate (B), City (D), Amount (L). Write one Excel formula for revenue in Pune for the month in cell B5." → test on a few rows you can check by hand.</t>
        </is>
      </c>
    </row>
  </sheetData>
  <mergeCells count="1">
    <mergeCell ref="A2:B2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1" customWidth="1" min="4" max="4"/>
    <col width="9" customWidth="1" min="5" max="5"/>
    <col width="12" customWidth="1" min="6" max="6"/>
    <col width="5" customWidth="1" min="7" max="7"/>
    <col width="10" customWidth="1" min="8" max="8"/>
    <col width="9" customWidth="1" min="9" max="9"/>
    <col width="13" customWidth="1" min="10" max="10"/>
    <col width="9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OrderID</t>
        </is>
      </c>
      <c r="B1" s="4" t="inlineStr">
        <is>
          <t>OrderDate</t>
        </is>
      </c>
      <c r="C1" s="4" t="inlineStr">
        <is>
          <t>StoreID</t>
        </is>
      </c>
      <c r="D1" s="4" t="inlineStr">
        <is>
          <t>City</t>
        </is>
      </c>
      <c r="E1" s="4" t="inlineStr">
        <is>
          <t>ProductID</t>
        </is>
      </c>
      <c r="F1" s="4" t="inlineStr">
        <is>
          <t>Category</t>
        </is>
      </c>
      <c r="G1" s="4" t="inlineStr">
        <is>
          <t>Qty</t>
        </is>
      </c>
      <c r="H1" s="4" t="inlineStr">
        <is>
          <t>UnitPrice</t>
        </is>
      </c>
      <c r="I1" s="4" t="inlineStr">
        <is>
          <t>Discount</t>
        </is>
      </c>
      <c r="J1" s="4" t="inlineStr">
        <is>
          <t>CustomerType</t>
        </is>
      </c>
      <c r="K1" s="4" t="inlineStr">
        <is>
          <t>Warranty</t>
        </is>
      </c>
      <c r="L1" s="4" t="inlineStr">
        <is>
          <t>Amount</t>
        </is>
      </c>
      <c r="M1" s="4" t="inlineStr">
        <is>
          <t>Cost</t>
        </is>
      </c>
      <c r="N1" s="4" t="inlineStr">
        <is>
          <t>Profit</t>
        </is>
      </c>
      <c r="O1" s="2" t="n"/>
      <c r="P1" s="7" t="inlineStr">
        <is>
          <t>Sample data (generated for practice): 400 orders, Apr–Sep 2026, fictional electronics chain.</t>
        </is>
      </c>
    </row>
    <row r="2">
      <c r="A2" s="5" t="inlineStr">
        <is>
          <t>ORD-0165</t>
        </is>
      </c>
      <c r="B2" s="50" t="n">
        <v>46113</v>
      </c>
      <c r="C2" s="5" t="inlineStr">
        <is>
          <t>S01</t>
        </is>
      </c>
      <c r="D2" s="5" t="inlineStr">
        <is>
          <t>Mumbai</t>
        </is>
      </c>
      <c r="E2" s="5" t="inlineStr">
        <is>
          <t>P201</t>
        </is>
      </c>
      <c r="F2" s="5" t="inlineStr">
        <is>
          <t>Laptops</t>
        </is>
      </c>
      <c r="G2" s="5" t="n">
        <v>1</v>
      </c>
      <c r="H2" s="51" t="n">
        <v>54999</v>
      </c>
      <c r="I2" s="62" t="n">
        <v>0</v>
      </c>
      <c r="J2" s="5" t="inlineStr">
        <is>
          <t>Online</t>
        </is>
      </c>
      <c r="K2" s="5" t="inlineStr">
        <is>
          <t>No</t>
        </is>
      </c>
      <c r="L2" s="51">
        <f>G2*H2*(1-I2)</f>
        <v/>
      </c>
      <c r="M2" s="51">
        <f>G2*INDEX(Lookups!$E$3:$E$12,MATCH(E2,Lookups!$A$3:$A$12,0))</f>
        <v/>
      </c>
      <c r="N2" s="51">
        <f>L2-M2</f>
        <v/>
      </c>
      <c r="O2" s="2" t="n"/>
      <c r="P2" s="2" t="n"/>
    </row>
    <row r="3">
      <c r="A3" s="5" t="inlineStr">
        <is>
          <t>ORD-0174</t>
        </is>
      </c>
      <c r="B3" s="50" t="n">
        <v>46113</v>
      </c>
      <c r="C3" s="5" t="inlineStr">
        <is>
          <t>S04</t>
        </is>
      </c>
      <c r="D3" s="5" t="inlineStr">
        <is>
          <t>Bengaluru</t>
        </is>
      </c>
      <c r="E3" s="5" t="inlineStr">
        <is>
          <t>P401</t>
        </is>
      </c>
      <c r="F3" s="5" t="inlineStr">
        <is>
          <t>Accessories</t>
        </is>
      </c>
      <c r="G3" s="5" t="n">
        <v>1</v>
      </c>
      <c r="H3" s="51" t="n">
        <v>1799</v>
      </c>
      <c r="I3" s="62" t="n">
        <v>0.1</v>
      </c>
      <c r="J3" s="5" t="inlineStr">
        <is>
          <t>Walk-in</t>
        </is>
      </c>
      <c r="K3" s="5" t="inlineStr">
        <is>
          <t>No</t>
        </is>
      </c>
      <c r="L3" s="51">
        <f>G3*H3*(1-I3)</f>
        <v/>
      </c>
      <c r="M3" s="51">
        <f>G3*INDEX(Lookups!$E$3:$E$12,MATCH(E3,Lookups!$A$3:$A$12,0))</f>
        <v/>
      </c>
      <c r="N3" s="51">
        <f>L3-M3</f>
        <v/>
      </c>
      <c r="O3" s="2" t="n"/>
      <c r="P3" s="2" t="n"/>
    </row>
    <row r="4">
      <c r="A4" s="5" t="inlineStr">
        <is>
          <t>ORD-0334</t>
        </is>
      </c>
      <c r="B4" s="50" t="n">
        <v>46113</v>
      </c>
      <c r="C4" s="5" t="inlineStr">
        <is>
          <t>S03</t>
        </is>
      </c>
      <c r="D4" s="5" t="inlineStr">
        <is>
          <t>Delhi</t>
        </is>
      </c>
      <c r="E4" s="5" t="inlineStr">
        <is>
          <t>P402</t>
        </is>
      </c>
      <c r="F4" s="5" t="inlineStr">
        <is>
          <t>Accessories</t>
        </is>
      </c>
      <c r="G4" s="5" t="n">
        <v>1</v>
      </c>
      <c r="H4" s="51" t="n">
        <v>1499</v>
      </c>
      <c r="I4" s="62" t="n">
        <v>0</v>
      </c>
      <c r="J4" s="5" t="inlineStr">
        <is>
          <t>Corporate</t>
        </is>
      </c>
      <c r="K4" s="5" t="inlineStr">
        <is>
          <t>No</t>
        </is>
      </c>
      <c r="L4" s="51">
        <f>G4*H4*(1-I4)</f>
        <v/>
      </c>
      <c r="M4" s="51">
        <f>G4*INDEX(Lookups!$E$3:$E$12,MATCH(E4,Lookups!$A$3:$A$12,0))</f>
        <v/>
      </c>
      <c r="N4" s="51">
        <f>L4-M4</f>
        <v/>
      </c>
      <c r="O4" s="2" t="n"/>
      <c r="P4" s="2" t="n"/>
    </row>
    <row r="5">
      <c r="A5" s="5" t="inlineStr">
        <is>
          <t>ORD-0118</t>
        </is>
      </c>
      <c r="B5" s="50" t="n">
        <v>46114</v>
      </c>
      <c r="C5" s="5" t="inlineStr">
        <is>
          <t>S04</t>
        </is>
      </c>
      <c r="D5" s="5" t="inlineStr">
        <is>
          <t>Bengaluru</t>
        </is>
      </c>
      <c r="E5" s="5" t="inlineStr">
        <is>
          <t>P301</t>
        </is>
      </c>
      <c r="F5" s="5" t="inlineStr">
        <is>
          <t>Audio</t>
        </is>
      </c>
      <c r="G5" s="5" t="n">
        <v>1</v>
      </c>
      <c r="H5" s="51" t="n">
        <v>2999</v>
      </c>
      <c r="I5" s="62" t="n">
        <v>0.05</v>
      </c>
      <c r="J5" s="5" t="inlineStr">
        <is>
          <t>Walk-in</t>
        </is>
      </c>
      <c r="K5" s="5" t="inlineStr">
        <is>
          <t>No</t>
        </is>
      </c>
      <c r="L5" s="51">
        <f>G5*H5*(1-I5)</f>
        <v/>
      </c>
      <c r="M5" s="51">
        <f>G5*INDEX(Lookups!$E$3:$E$12,MATCH(E5,Lookups!$A$3:$A$12,0))</f>
        <v/>
      </c>
      <c r="N5" s="51">
        <f>L5-M5</f>
        <v/>
      </c>
      <c r="O5" s="2" t="n"/>
      <c r="P5" s="2" t="n"/>
    </row>
    <row r="6">
      <c r="A6" s="5" t="inlineStr">
        <is>
          <t>ORD-0130</t>
        </is>
      </c>
      <c r="B6" s="50" t="n">
        <v>46114</v>
      </c>
      <c r="C6" s="5" t="inlineStr">
        <is>
          <t>S01</t>
        </is>
      </c>
      <c r="D6" s="5" t="inlineStr">
        <is>
          <t>Mumbai</t>
        </is>
      </c>
      <c r="E6" s="5" t="inlineStr">
        <is>
          <t>P402</t>
        </is>
      </c>
      <c r="F6" s="5" t="inlineStr">
        <is>
          <t>Accessories</t>
        </is>
      </c>
      <c r="G6" s="5" t="n">
        <v>3</v>
      </c>
      <c r="H6" s="51" t="n">
        <v>1499</v>
      </c>
      <c r="I6" s="62" t="n">
        <v>0</v>
      </c>
      <c r="J6" s="5" t="inlineStr">
        <is>
          <t>Corporate</t>
        </is>
      </c>
      <c r="K6" s="5" t="inlineStr">
        <is>
          <t>Yes</t>
        </is>
      </c>
      <c r="L6" s="51">
        <f>G6*H6*(1-I6)</f>
        <v/>
      </c>
      <c r="M6" s="51">
        <f>G6*INDEX(Lookups!$E$3:$E$12,MATCH(E6,Lookups!$A$3:$A$12,0))</f>
        <v/>
      </c>
      <c r="N6" s="51">
        <f>L6-M6</f>
        <v/>
      </c>
      <c r="O6" s="2" t="n"/>
      <c r="P6" s="2" t="n"/>
    </row>
    <row r="7">
      <c r="A7" s="5" t="inlineStr">
        <is>
          <t>ORD-0200</t>
        </is>
      </c>
      <c r="B7" s="50" t="n">
        <v>46115</v>
      </c>
      <c r="C7" s="5" t="inlineStr">
        <is>
          <t>S02</t>
        </is>
      </c>
      <c r="D7" s="5" t="inlineStr">
        <is>
          <t>Pune</t>
        </is>
      </c>
      <c r="E7" s="5" t="inlineStr">
        <is>
          <t>P302</t>
        </is>
      </c>
      <c r="F7" s="5" t="inlineStr">
        <is>
          <t>Audio</t>
        </is>
      </c>
      <c r="G7" s="5" t="n">
        <v>1</v>
      </c>
      <c r="H7" s="51" t="n">
        <v>4499</v>
      </c>
      <c r="I7" s="62" t="n">
        <v>0.05</v>
      </c>
      <c r="J7" s="5" t="inlineStr">
        <is>
          <t>Walk-in</t>
        </is>
      </c>
      <c r="K7" s="5" t="inlineStr">
        <is>
          <t>Yes</t>
        </is>
      </c>
      <c r="L7" s="51">
        <f>G7*H7*(1-I7)</f>
        <v/>
      </c>
      <c r="M7" s="51">
        <f>G7*INDEX(Lookups!$E$3:$E$12,MATCH(E7,Lookups!$A$3:$A$12,0))</f>
        <v/>
      </c>
      <c r="N7" s="51">
        <f>L7-M7</f>
        <v/>
      </c>
      <c r="O7" s="2" t="n"/>
      <c r="P7" s="2" t="n"/>
    </row>
    <row r="8">
      <c r="A8" s="5" t="inlineStr">
        <is>
          <t>ORD-0266</t>
        </is>
      </c>
      <c r="B8" s="50" t="n">
        <v>46115</v>
      </c>
      <c r="C8" s="5" t="inlineStr">
        <is>
          <t>S03</t>
        </is>
      </c>
      <c r="D8" s="5" t="inlineStr">
        <is>
          <t>Delhi</t>
        </is>
      </c>
      <c r="E8" s="5" t="inlineStr">
        <is>
          <t>P102</t>
        </is>
      </c>
      <c r="F8" s="5" t="inlineStr">
        <is>
          <t>Mobiles</t>
        </is>
      </c>
      <c r="G8" s="5" t="n">
        <v>2</v>
      </c>
      <c r="H8" s="51" t="n">
        <v>32999</v>
      </c>
      <c r="I8" s="62" t="n">
        <v>0.05</v>
      </c>
      <c r="J8" s="5" t="inlineStr">
        <is>
          <t>Walk-in</t>
        </is>
      </c>
      <c r="K8" s="5" t="inlineStr">
        <is>
          <t>Yes</t>
        </is>
      </c>
      <c r="L8" s="51">
        <f>G8*H8*(1-I8)</f>
        <v/>
      </c>
      <c r="M8" s="51">
        <f>G8*INDEX(Lookups!$E$3:$E$12,MATCH(E8,Lookups!$A$3:$A$12,0))</f>
        <v/>
      </c>
      <c r="N8" s="51">
        <f>L8-M8</f>
        <v/>
      </c>
      <c r="O8" s="2" t="n"/>
      <c r="P8" s="2" t="n"/>
    </row>
    <row r="9">
      <c r="A9" s="5" t="inlineStr">
        <is>
          <t>ORD-0327</t>
        </is>
      </c>
      <c r="B9" s="50" t="n">
        <v>46115</v>
      </c>
      <c r="C9" s="5" t="inlineStr">
        <is>
          <t>S01</t>
        </is>
      </c>
      <c r="D9" s="5" t="inlineStr">
        <is>
          <t>Mumbai</t>
        </is>
      </c>
      <c r="E9" s="5" t="inlineStr">
        <is>
          <t>P101</t>
        </is>
      </c>
      <c r="F9" s="5" t="inlineStr">
        <is>
          <t>Mobiles</t>
        </is>
      </c>
      <c r="G9" s="5" t="n">
        <v>1</v>
      </c>
      <c r="H9" s="51" t="n">
        <v>18999</v>
      </c>
      <c r="I9" s="62" t="n">
        <v>0</v>
      </c>
      <c r="J9" s="5" t="inlineStr">
        <is>
          <t>Walk-in</t>
        </is>
      </c>
      <c r="K9" s="5" t="inlineStr">
        <is>
          <t>Yes</t>
        </is>
      </c>
      <c r="L9" s="51">
        <f>G9*H9*(1-I9)</f>
        <v/>
      </c>
      <c r="M9" s="51">
        <f>G9*INDEX(Lookups!$E$3:$E$12,MATCH(E9,Lookups!$A$3:$A$12,0))</f>
        <v/>
      </c>
      <c r="N9" s="51">
        <f>L9-M9</f>
        <v/>
      </c>
      <c r="O9" s="2" t="n"/>
      <c r="P9" s="2" t="n"/>
    </row>
    <row r="10">
      <c r="A10" s="5" t="inlineStr">
        <is>
          <t>ORD-0017</t>
        </is>
      </c>
      <c r="B10" s="50" t="n">
        <v>46118</v>
      </c>
      <c r="C10" s="5" t="inlineStr">
        <is>
          <t>S05</t>
        </is>
      </c>
      <c r="D10" s="5" t="inlineStr">
        <is>
          <t>Chennai</t>
        </is>
      </c>
      <c r="E10" s="5" t="inlineStr">
        <is>
          <t>P501</t>
        </is>
      </c>
      <c r="F10" s="5" t="inlineStr">
        <is>
          <t>TV</t>
        </is>
      </c>
      <c r="G10" s="5" t="n">
        <v>1</v>
      </c>
      <c r="H10" s="51" t="n">
        <v>32999</v>
      </c>
      <c r="I10" s="62" t="n">
        <v>0</v>
      </c>
      <c r="J10" s="5" t="inlineStr">
        <is>
          <t>Online</t>
        </is>
      </c>
      <c r="K10" s="5" t="inlineStr">
        <is>
          <t>No</t>
        </is>
      </c>
      <c r="L10" s="51">
        <f>G10*H10*(1-I10)</f>
        <v/>
      </c>
      <c r="M10" s="51">
        <f>G10*INDEX(Lookups!$E$3:$E$12,MATCH(E10,Lookups!$A$3:$A$12,0))</f>
        <v/>
      </c>
      <c r="N10" s="51">
        <f>L10-M10</f>
        <v/>
      </c>
      <c r="O10" s="2" t="n"/>
      <c r="P10" s="2" t="n"/>
    </row>
    <row r="11">
      <c r="A11" s="5" t="inlineStr">
        <is>
          <t>ORD-0277</t>
        </is>
      </c>
      <c r="B11" s="50" t="n">
        <v>46118</v>
      </c>
      <c r="C11" s="5" t="inlineStr">
        <is>
          <t>S01</t>
        </is>
      </c>
      <c r="D11" s="5" t="inlineStr">
        <is>
          <t>Mumbai</t>
        </is>
      </c>
      <c r="E11" s="5" t="inlineStr">
        <is>
          <t>P401</t>
        </is>
      </c>
      <c r="F11" s="5" t="inlineStr">
        <is>
          <t>Accessories</t>
        </is>
      </c>
      <c r="G11" s="5" t="n">
        <v>1</v>
      </c>
      <c r="H11" s="51" t="n">
        <v>1799</v>
      </c>
      <c r="I11" s="62" t="n">
        <v>0.1</v>
      </c>
      <c r="J11" s="5" t="inlineStr">
        <is>
          <t>Corporate</t>
        </is>
      </c>
      <c r="K11" s="5" t="inlineStr">
        <is>
          <t>No</t>
        </is>
      </c>
      <c r="L11" s="51">
        <f>G11*H11*(1-I11)</f>
        <v/>
      </c>
      <c r="M11" s="51">
        <f>G11*INDEX(Lookups!$E$3:$E$12,MATCH(E11,Lookups!$A$3:$A$12,0))</f>
        <v/>
      </c>
      <c r="N11" s="51">
        <f>L11-M11</f>
        <v/>
      </c>
      <c r="O11" s="2" t="n"/>
      <c r="P11" s="2" t="n"/>
    </row>
    <row r="12">
      <c r="A12" s="5" t="inlineStr">
        <is>
          <t>ORD-0302</t>
        </is>
      </c>
      <c r="B12" s="50" t="n">
        <v>46118</v>
      </c>
      <c r="C12" s="5" t="inlineStr">
        <is>
          <t>S02</t>
        </is>
      </c>
      <c r="D12" s="5" t="inlineStr">
        <is>
          <t>Pune</t>
        </is>
      </c>
      <c r="E12" s="5" t="inlineStr">
        <is>
          <t>P202</t>
        </is>
      </c>
      <c r="F12" s="5" t="inlineStr">
        <is>
          <t>Laptops</t>
        </is>
      </c>
      <c r="G12" s="5" t="n">
        <v>3</v>
      </c>
      <c r="H12" s="51" t="n">
        <v>94999</v>
      </c>
      <c r="I12" s="62" t="n">
        <v>0</v>
      </c>
      <c r="J12" s="5" t="inlineStr">
        <is>
          <t>Walk-in</t>
        </is>
      </c>
      <c r="K12" s="5" t="inlineStr">
        <is>
          <t>Yes</t>
        </is>
      </c>
      <c r="L12" s="51">
        <f>G12*H12*(1-I12)</f>
        <v/>
      </c>
      <c r="M12" s="51">
        <f>G12*INDEX(Lookups!$E$3:$E$12,MATCH(E12,Lookups!$A$3:$A$12,0))</f>
        <v/>
      </c>
      <c r="N12" s="51">
        <f>L12-M12</f>
        <v/>
      </c>
      <c r="O12" s="2" t="n"/>
      <c r="P12" s="2" t="n"/>
    </row>
    <row r="13">
      <c r="A13" s="5" t="inlineStr">
        <is>
          <t>ORD-0397</t>
        </is>
      </c>
      <c r="B13" s="50" t="n">
        <v>46118</v>
      </c>
      <c r="C13" s="5" t="inlineStr">
        <is>
          <t>S06</t>
        </is>
      </c>
      <c r="D13" s="5" t="inlineStr">
        <is>
          <t>Gurugram</t>
        </is>
      </c>
      <c r="E13" s="5" t="inlineStr">
        <is>
          <t>P102</t>
        </is>
      </c>
      <c r="F13" s="5" t="inlineStr">
        <is>
          <t>Mobiles</t>
        </is>
      </c>
      <c r="G13" s="5" t="n">
        <v>1</v>
      </c>
      <c r="H13" s="51" t="n">
        <v>32999</v>
      </c>
      <c r="I13" s="62" t="n">
        <v>0.1</v>
      </c>
      <c r="J13" s="5" t="inlineStr">
        <is>
          <t>Online</t>
        </is>
      </c>
      <c r="K13" s="5" t="inlineStr">
        <is>
          <t>No</t>
        </is>
      </c>
      <c r="L13" s="51">
        <f>G13*H13*(1-I13)</f>
        <v/>
      </c>
      <c r="M13" s="51">
        <f>G13*INDEX(Lookups!$E$3:$E$12,MATCH(E13,Lookups!$A$3:$A$12,0))</f>
        <v/>
      </c>
      <c r="N13" s="51">
        <f>L13-M13</f>
        <v/>
      </c>
      <c r="O13" s="2" t="n"/>
      <c r="P13" s="2" t="n"/>
    </row>
    <row r="14">
      <c r="A14" s="5" t="inlineStr">
        <is>
          <t>ORD-0021</t>
        </is>
      </c>
      <c r="B14" s="50" t="n">
        <v>46119</v>
      </c>
      <c r="C14" s="5" t="inlineStr">
        <is>
          <t>S01</t>
        </is>
      </c>
      <c r="D14" s="5" t="inlineStr">
        <is>
          <t>Mumbai</t>
        </is>
      </c>
      <c r="E14" s="5" t="inlineStr">
        <is>
          <t>P102</t>
        </is>
      </c>
      <c r="F14" s="5" t="inlineStr">
        <is>
          <t>Mobiles</t>
        </is>
      </c>
      <c r="G14" s="5" t="n">
        <v>1</v>
      </c>
      <c r="H14" s="51" t="n">
        <v>32999</v>
      </c>
      <c r="I14" s="62" t="n">
        <v>0</v>
      </c>
      <c r="J14" s="5" t="inlineStr">
        <is>
          <t>Online</t>
        </is>
      </c>
      <c r="K14" s="5" t="inlineStr">
        <is>
          <t>No</t>
        </is>
      </c>
      <c r="L14" s="51">
        <f>G14*H14*(1-I14)</f>
        <v/>
      </c>
      <c r="M14" s="51">
        <f>G14*INDEX(Lookups!$E$3:$E$12,MATCH(E14,Lookups!$A$3:$A$12,0))</f>
        <v/>
      </c>
      <c r="N14" s="51">
        <f>L14-M14</f>
        <v/>
      </c>
      <c r="O14" s="2" t="n"/>
      <c r="P14" s="2" t="n"/>
    </row>
    <row r="15">
      <c r="A15" s="5" t="inlineStr">
        <is>
          <t>ORD-0381</t>
        </is>
      </c>
      <c r="B15" s="50" t="n">
        <v>46119</v>
      </c>
      <c r="C15" s="5" t="inlineStr">
        <is>
          <t>S02</t>
        </is>
      </c>
      <c r="D15" s="5" t="inlineStr">
        <is>
          <t>Pune</t>
        </is>
      </c>
      <c r="E15" s="5" t="inlineStr">
        <is>
          <t>P502</t>
        </is>
      </c>
      <c r="F15" s="5" t="inlineStr">
        <is>
          <t>TV</t>
        </is>
      </c>
      <c r="G15" s="5" t="n">
        <v>2</v>
      </c>
      <c r="H15" s="51" t="n">
        <v>52999</v>
      </c>
      <c r="I15" s="62" t="n">
        <v>0.05</v>
      </c>
      <c r="J15" s="5" t="inlineStr">
        <is>
          <t>Walk-in</t>
        </is>
      </c>
      <c r="K15" s="5" t="inlineStr">
        <is>
          <t>No</t>
        </is>
      </c>
      <c r="L15" s="51">
        <f>G15*H15*(1-I15)</f>
        <v/>
      </c>
      <c r="M15" s="51">
        <f>G15*INDEX(Lookups!$E$3:$E$12,MATCH(E15,Lookups!$A$3:$A$12,0))</f>
        <v/>
      </c>
      <c r="N15" s="51">
        <f>L15-M15</f>
        <v/>
      </c>
      <c r="O15" s="2" t="n"/>
      <c r="P15" s="2" t="n"/>
    </row>
    <row r="16">
      <c r="A16" s="5" t="inlineStr">
        <is>
          <t>ORD-0005</t>
        </is>
      </c>
      <c r="B16" s="50" t="n">
        <v>46120</v>
      </c>
      <c r="C16" s="5" t="inlineStr">
        <is>
          <t>S01</t>
        </is>
      </c>
      <c r="D16" s="5" t="inlineStr">
        <is>
          <t>Mumbai</t>
        </is>
      </c>
      <c r="E16" s="5" t="inlineStr">
        <is>
          <t>P401</t>
        </is>
      </c>
      <c r="F16" s="5" t="inlineStr">
        <is>
          <t>Accessories</t>
        </is>
      </c>
      <c r="G16" s="5" t="n">
        <v>2</v>
      </c>
      <c r="H16" s="51" t="n">
        <v>1799</v>
      </c>
      <c r="I16" s="62" t="n">
        <v>0.1</v>
      </c>
      <c r="J16" s="5" t="inlineStr">
        <is>
          <t>Walk-in</t>
        </is>
      </c>
      <c r="K16" s="5" t="inlineStr">
        <is>
          <t>No</t>
        </is>
      </c>
      <c r="L16" s="51">
        <f>G16*H16*(1-I16)</f>
        <v/>
      </c>
      <c r="M16" s="51">
        <f>G16*INDEX(Lookups!$E$3:$E$12,MATCH(E16,Lookups!$A$3:$A$12,0))</f>
        <v/>
      </c>
      <c r="N16" s="51">
        <f>L16-M16</f>
        <v/>
      </c>
      <c r="O16" s="2" t="n"/>
      <c r="P16" s="2" t="n"/>
    </row>
    <row r="17">
      <c r="A17" s="5" t="inlineStr">
        <is>
          <t>ORD-0031</t>
        </is>
      </c>
      <c r="B17" s="50" t="n">
        <v>46120</v>
      </c>
      <c r="C17" s="5" t="inlineStr">
        <is>
          <t>S04</t>
        </is>
      </c>
      <c r="D17" s="5" t="inlineStr">
        <is>
          <t>Bengaluru</t>
        </is>
      </c>
      <c r="E17" s="5" t="inlineStr">
        <is>
          <t>P202</t>
        </is>
      </c>
      <c r="F17" s="5" t="inlineStr">
        <is>
          <t>Laptops</t>
        </is>
      </c>
      <c r="G17" s="5" t="n">
        <v>1</v>
      </c>
      <c r="H17" s="51" t="n">
        <v>94999</v>
      </c>
      <c r="I17" s="62" t="n">
        <v>0</v>
      </c>
      <c r="J17" s="5" t="inlineStr">
        <is>
          <t>Walk-in</t>
        </is>
      </c>
      <c r="K17" s="5" t="inlineStr">
        <is>
          <t>Yes</t>
        </is>
      </c>
      <c r="L17" s="51">
        <f>G17*H17*(1-I17)</f>
        <v/>
      </c>
      <c r="M17" s="51">
        <f>G17*INDEX(Lookups!$E$3:$E$12,MATCH(E17,Lookups!$A$3:$A$12,0))</f>
        <v/>
      </c>
      <c r="N17" s="51">
        <f>L17-M17</f>
        <v/>
      </c>
      <c r="O17" s="2" t="n"/>
      <c r="P17" s="2" t="n"/>
    </row>
    <row r="18">
      <c r="A18" s="5" t="inlineStr">
        <is>
          <t>ORD-0138</t>
        </is>
      </c>
      <c r="B18" s="50" t="n">
        <v>46120</v>
      </c>
      <c r="C18" s="5" t="inlineStr">
        <is>
          <t>S04</t>
        </is>
      </c>
      <c r="D18" s="5" t="inlineStr">
        <is>
          <t>Bengaluru</t>
        </is>
      </c>
      <c r="E18" s="5" t="inlineStr">
        <is>
          <t>P301</t>
        </is>
      </c>
      <c r="F18" s="5" t="inlineStr">
        <is>
          <t>Audio</t>
        </is>
      </c>
      <c r="G18" s="5" t="n">
        <v>2</v>
      </c>
      <c r="H18" s="51" t="n">
        <v>2999</v>
      </c>
      <c r="I18" s="62" t="n">
        <v>0.05</v>
      </c>
      <c r="J18" s="5" t="inlineStr">
        <is>
          <t>Online</t>
        </is>
      </c>
      <c r="K18" s="5" t="inlineStr">
        <is>
          <t>No</t>
        </is>
      </c>
      <c r="L18" s="51">
        <f>G18*H18*(1-I18)</f>
        <v/>
      </c>
      <c r="M18" s="51">
        <f>G18*INDEX(Lookups!$E$3:$E$12,MATCH(E18,Lookups!$A$3:$A$12,0))</f>
        <v/>
      </c>
      <c r="N18" s="51">
        <f>L18-M18</f>
        <v/>
      </c>
      <c r="O18" s="2" t="n"/>
      <c r="P18" s="2" t="n"/>
    </row>
    <row r="19">
      <c r="A19" s="5" t="inlineStr">
        <is>
          <t>ORD-0125</t>
        </is>
      </c>
      <c r="B19" s="50" t="n">
        <v>46121</v>
      </c>
      <c r="C19" s="5" t="inlineStr">
        <is>
          <t>S04</t>
        </is>
      </c>
      <c r="D19" s="5" t="inlineStr">
        <is>
          <t>Bengaluru</t>
        </is>
      </c>
      <c r="E19" s="5" t="inlineStr">
        <is>
          <t>P402</t>
        </is>
      </c>
      <c r="F19" s="5" t="inlineStr">
        <is>
          <t>Accessories</t>
        </is>
      </c>
      <c r="G19" s="5" t="n">
        <v>2</v>
      </c>
      <c r="H19" s="51" t="n">
        <v>1499</v>
      </c>
      <c r="I19" s="62" t="n">
        <v>0</v>
      </c>
      <c r="J19" s="5" t="inlineStr">
        <is>
          <t>Walk-in</t>
        </is>
      </c>
      <c r="K19" s="5" t="inlineStr">
        <is>
          <t>Yes</t>
        </is>
      </c>
      <c r="L19" s="51">
        <f>G19*H19*(1-I19)</f>
        <v/>
      </c>
      <c r="M19" s="51">
        <f>G19*INDEX(Lookups!$E$3:$E$12,MATCH(E19,Lookups!$A$3:$A$12,0))</f>
        <v/>
      </c>
      <c r="N19" s="51">
        <f>L19-M19</f>
        <v/>
      </c>
      <c r="O19" s="2" t="n"/>
      <c r="P19" s="2" t="n"/>
    </row>
    <row r="20">
      <c r="A20" s="5" t="inlineStr">
        <is>
          <t>ORD-0197</t>
        </is>
      </c>
      <c r="B20" s="50" t="n">
        <v>46121</v>
      </c>
      <c r="C20" s="5" t="inlineStr">
        <is>
          <t>S01</t>
        </is>
      </c>
      <c r="D20" s="5" t="inlineStr">
        <is>
          <t>Mumbai</t>
        </is>
      </c>
      <c r="E20" s="5" t="inlineStr">
        <is>
          <t>P301</t>
        </is>
      </c>
      <c r="F20" s="5" t="inlineStr">
        <is>
          <t>Audio</t>
        </is>
      </c>
      <c r="G20" s="5" t="n">
        <v>1</v>
      </c>
      <c r="H20" s="51" t="n">
        <v>2999</v>
      </c>
      <c r="I20" s="62" t="n">
        <v>0</v>
      </c>
      <c r="J20" s="5" t="inlineStr">
        <is>
          <t>Online</t>
        </is>
      </c>
      <c r="K20" s="5" t="inlineStr">
        <is>
          <t>No</t>
        </is>
      </c>
      <c r="L20" s="51">
        <f>G20*H20*(1-I20)</f>
        <v/>
      </c>
      <c r="M20" s="51">
        <f>G20*INDEX(Lookups!$E$3:$E$12,MATCH(E20,Lookups!$A$3:$A$12,0))</f>
        <v/>
      </c>
      <c r="N20" s="51">
        <f>L20-M20</f>
        <v/>
      </c>
      <c r="O20" s="2" t="n"/>
      <c r="P20" s="2" t="n"/>
    </row>
    <row r="21">
      <c r="A21" s="5" t="inlineStr">
        <is>
          <t>ORD-0135</t>
        </is>
      </c>
      <c r="B21" s="50" t="n">
        <v>46122</v>
      </c>
      <c r="C21" s="5" t="inlineStr">
        <is>
          <t>S03</t>
        </is>
      </c>
      <c r="D21" s="5" t="inlineStr">
        <is>
          <t>Delhi</t>
        </is>
      </c>
      <c r="E21" s="5" t="inlineStr">
        <is>
          <t>P101</t>
        </is>
      </c>
      <c r="F21" s="5" t="inlineStr">
        <is>
          <t>Mobiles</t>
        </is>
      </c>
      <c r="G21" s="5" t="n">
        <v>1</v>
      </c>
      <c r="H21" s="51" t="n">
        <v>18999</v>
      </c>
      <c r="I21" s="62" t="n">
        <v>0.1</v>
      </c>
      <c r="J21" s="5" t="inlineStr">
        <is>
          <t>Online</t>
        </is>
      </c>
      <c r="K21" s="5" t="inlineStr">
        <is>
          <t>No</t>
        </is>
      </c>
      <c r="L21" s="51">
        <f>G21*H21*(1-I21)</f>
        <v/>
      </c>
      <c r="M21" s="51">
        <f>G21*INDEX(Lookups!$E$3:$E$12,MATCH(E21,Lookups!$A$3:$A$12,0))</f>
        <v/>
      </c>
      <c r="N21" s="51">
        <f>L21-M21</f>
        <v/>
      </c>
      <c r="O21" s="2" t="n"/>
      <c r="P21" s="2" t="n"/>
    </row>
    <row r="22">
      <c r="A22" s="5" t="inlineStr">
        <is>
          <t>ORD-0247</t>
        </is>
      </c>
      <c r="B22" s="50" t="n">
        <v>46122</v>
      </c>
      <c r="C22" s="5" t="inlineStr">
        <is>
          <t>S04</t>
        </is>
      </c>
      <c r="D22" s="5" t="inlineStr">
        <is>
          <t>Bengaluru</t>
        </is>
      </c>
      <c r="E22" s="5" t="inlineStr">
        <is>
          <t>P401</t>
        </is>
      </c>
      <c r="F22" s="5" t="inlineStr">
        <is>
          <t>Accessories</t>
        </is>
      </c>
      <c r="G22" s="5" t="n">
        <v>1</v>
      </c>
      <c r="H22" s="51" t="n">
        <v>1799</v>
      </c>
      <c r="I22" s="62" t="n">
        <v>0</v>
      </c>
      <c r="J22" s="5" t="inlineStr">
        <is>
          <t>Corporate</t>
        </is>
      </c>
      <c r="K22" s="5" t="inlineStr">
        <is>
          <t>No</t>
        </is>
      </c>
      <c r="L22" s="51">
        <f>G22*H22*(1-I22)</f>
        <v/>
      </c>
      <c r="M22" s="51">
        <f>G22*INDEX(Lookups!$E$3:$E$12,MATCH(E22,Lookups!$A$3:$A$12,0))</f>
        <v/>
      </c>
      <c r="N22" s="51">
        <f>L22-M22</f>
        <v/>
      </c>
      <c r="O22" s="2" t="n"/>
      <c r="P22" s="2" t="n"/>
    </row>
    <row r="23">
      <c r="A23" s="5" t="inlineStr">
        <is>
          <t>ORD-0062</t>
        </is>
      </c>
      <c r="B23" s="50" t="n">
        <v>46123</v>
      </c>
      <c r="C23" s="5" t="inlineStr">
        <is>
          <t>S05</t>
        </is>
      </c>
      <c r="D23" s="5" t="inlineStr">
        <is>
          <t>Chennai</t>
        </is>
      </c>
      <c r="E23" s="5" t="inlineStr">
        <is>
          <t>P101</t>
        </is>
      </c>
      <c r="F23" s="5" t="inlineStr">
        <is>
          <t>Mobiles</t>
        </is>
      </c>
      <c r="G23" s="5" t="n">
        <v>2</v>
      </c>
      <c r="H23" s="51" t="n">
        <v>18999</v>
      </c>
      <c r="I23" s="62" t="n">
        <v>0</v>
      </c>
      <c r="J23" s="5" t="inlineStr">
        <is>
          <t>Walk-in</t>
        </is>
      </c>
      <c r="K23" s="5" t="inlineStr">
        <is>
          <t>No</t>
        </is>
      </c>
      <c r="L23" s="51">
        <f>G23*H23*(1-I23)</f>
        <v/>
      </c>
      <c r="M23" s="51">
        <f>G23*INDEX(Lookups!$E$3:$E$12,MATCH(E23,Lookups!$A$3:$A$12,0))</f>
        <v/>
      </c>
      <c r="N23" s="51">
        <f>L23-M23</f>
        <v/>
      </c>
      <c r="O23" s="2" t="n"/>
      <c r="P23" s="2" t="n"/>
    </row>
    <row r="24">
      <c r="A24" s="5" t="inlineStr">
        <is>
          <t>ORD-0184</t>
        </is>
      </c>
      <c r="B24" s="50" t="n">
        <v>46123</v>
      </c>
      <c r="C24" s="5" t="inlineStr">
        <is>
          <t>S01</t>
        </is>
      </c>
      <c r="D24" s="5" t="inlineStr">
        <is>
          <t>Mumbai</t>
        </is>
      </c>
      <c r="E24" s="5" t="inlineStr">
        <is>
          <t>P301</t>
        </is>
      </c>
      <c r="F24" s="5" t="inlineStr">
        <is>
          <t>Audio</t>
        </is>
      </c>
      <c r="G24" s="5" t="n">
        <v>1</v>
      </c>
      <c r="H24" s="51" t="n">
        <v>2999</v>
      </c>
      <c r="I24" s="62" t="n">
        <v>0.1</v>
      </c>
      <c r="J24" s="5" t="inlineStr">
        <is>
          <t>Online</t>
        </is>
      </c>
      <c r="K24" s="5" t="inlineStr">
        <is>
          <t>Yes</t>
        </is>
      </c>
      <c r="L24" s="51">
        <f>G24*H24*(1-I24)</f>
        <v/>
      </c>
      <c r="M24" s="51">
        <f>G24*INDEX(Lookups!$E$3:$E$12,MATCH(E24,Lookups!$A$3:$A$12,0))</f>
        <v/>
      </c>
      <c r="N24" s="51">
        <f>L24-M24</f>
        <v/>
      </c>
      <c r="O24" s="2" t="n"/>
      <c r="P24" s="2" t="n"/>
    </row>
    <row r="25">
      <c r="A25" s="5" t="inlineStr">
        <is>
          <t>ORD-0319</t>
        </is>
      </c>
      <c r="B25" s="50" t="n">
        <v>46123</v>
      </c>
      <c r="C25" s="5" t="inlineStr">
        <is>
          <t>S02</t>
        </is>
      </c>
      <c r="D25" s="5" t="inlineStr">
        <is>
          <t>Pune</t>
        </is>
      </c>
      <c r="E25" s="5" t="inlineStr">
        <is>
          <t>P301</t>
        </is>
      </c>
      <c r="F25" s="5" t="inlineStr">
        <is>
          <t>Audio</t>
        </is>
      </c>
      <c r="G25" s="5" t="n">
        <v>2</v>
      </c>
      <c r="H25" s="51" t="n">
        <v>2999</v>
      </c>
      <c r="I25" s="62" t="n">
        <v>0</v>
      </c>
      <c r="J25" s="5" t="inlineStr">
        <is>
          <t>Walk-in</t>
        </is>
      </c>
      <c r="K25" s="5" t="inlineStr">
        <is>
          <t>No</t>
        </is>
      </c>
      <c r="L25" s="51">
        <f>G25*H25*(1-I25)</f>
        <v/>
      </c>
      <c r="M25" s="51">
        <f>G25*INDEX(Lookups!$E$3:$E$12,MATCH(E25,Lookups!$A$3:$A$12,0))</f>
        <v/>
      </c>
      <c r="N25" s="51">
        <f>L25-M25</f>
        <v/>
      </c>
      <c r="O25" s="2" t="n"/>
      <c r="P25" s="2" t="n"/>
    </row>
    <row r="26">
      <c r="A26" s="5" t="inlineStr">
        <is>
          <t>ORD-0006</t>
        </is>
      </c>
      <c r="B26" s="50" t="n">
        <v>46124</v>
      </c>
      <c r="C26" s="5" t="inlineStr">
        <is>
          <t>S04</t>
        </is>
      </c>
      <c r="D26" s="5" t="inlineStr">
        <is>
          <t>Bengaluru</t>
        </is>
      </c>
      <c r="E26" s="5" t="inlineStr">
        <is>
          <t>P301</t>
        </is>
      </c>
      <c r="F26" s="5" t="inlineStr">
        <is>
          <t>Audio</t>
        </is>
      </c>
      <c r="G26" s="5" t="n">
        <v>1</v>
      </c>
      <c r="H26" s="51" t="n">
        <v>2999</v>
      </c>
      <c r="I26" s="62" t="n">
        <v>0</v>
      </c>
      <c r="J26" s="5" t="inlineStr">
        <is>
          <t>Online</t>
        </is>
      </c>
      <c r="K26" s="5" t="inlineStr">
        <is>
          <t>No</t>
        </is>
      </c>
      <c r="L26" s="51">
        <f>G26*H26*(1-I26)</f>
        <v/>
      </c>
      <c r="M26" s="51">
        <f>G26*INDEX(Lookups!$E$3:$E$12,MATCH(E26,Lookups!$A$3:$A$12,0))</f>
        <v/>
      </c>
      <c r="N26" s="51">
        <f>L26-M26</f>
        <v/>
      </c>
      <c r="O26" s="2" t="n"/>
      <c r="P26" s="2" t="n"/>
    </row>
    <row r="27">
      <c r="A27" s="5" t="inlineStr">
        <is>
          <t>ORD-0086</t>
        </is>
      </c>
      <c r="B27" s="50" t="n">
        <v>46124</v>
      </c>
      <c r="C27" s="5" t="inlineStr">
        <is>
          <t>S04</t>
        </is>
      </c>
      <c r="D27" s="5" t="inlineStr">
        <is>
          <t>Bengaluru</t>
        </is>
      </c>
      <c r="E27" s="5" t="inlineStr">
        <is>
          <t>P101</t>
        </is>
      </c>
      <c r="F27" s="5" t="inlineStr">
        <is>
          <t>Mobiles</t>
        </is>
      </c>
      <c r="G27" s="5" t="n">
        <v>1</v>
      </c>
      <c r="H27" s="51" t="n">
        <v>18999</v>
      </c>
      <c r="I27" s="62" t="n">
        <v>0</v>
      </c>
      <c r="J27" s="5" t="inlineStr">
        <is>
          <t>Walk-in</t>
        </is>
      </c>
      <c r="K27" s="5" t="inlineStr">
        <is>
          <t>Yes</t>
        </is>
      </c>
      <c r="L27" s="51">
        <f>G27*H27*(1-I27)</f>
        <v/>
      </c>
      <c r="M27" s="51">
        <f>G27*INDEX(Lookups!$E$3:$E$12,MATCH(E27,Lookups!$A$3:$A$12,0))</f>
        <v/>
      </c>
      <c r="N27" s="51">
        <f>L27-M27</f>
        <v/>
      </c>
      <c r="O27" s="2" t="n"/>
      <c r="P27" s="2" t="n"/>
    </row>
    <row r="28">
      <c r="A28" s="5" t="inlineStr">
        <is>
          <t>ORD-0395</t>
        </is>
      </c>
      <c r="B28" s="50" t="n">
        <v>46124</v>
      </c>
      <c r="C28" s="5" t="inlineStr">
        <is>
          <t>S03</t>
        </is>
      </c>
      <c r="D28" s="5" t="inlineStr">
        <is>
          <t>Delhi</t>
        </is>
      </c>
      <c r="E28" s="5" t="inlineStr">
        <is>
          <t>P501</t>
        </is>
      </c>
      <c r="F28" s="5" t="inlineStr">
        <is>
          <t>TV</t>
        </is>
      </c>
      <c r="G28" s="5" t="n">
        <v>1</v>
      </c>
      <c r="H28" s="51" t="n">
        <v>32999</v>
      </c>
      <c r="I28" s="62" t="n">
        <v>0</v>
      </c>
      <c r="J28" s="5" t="inlineStr">
        <is>
          <t>Walk-in</t>
        </is>
      </c>
      <c r="K28" s="5" t="inlineStr">
        <is>
          <t>No</t>
        </is>
      </c>
      <c r="L28" s="51">
        <f>G28*H28*(1-I28)</f>
        <v/>
      </c>
      <c r="M28" s="51">
        <f>G28*INDEX(Lookups!$E$3:$E$12,MATCH(E28,Lookups!$A$3:$A$12,0))</f>
        <v/>
      </c>
      <c r="N28" s="51">
        <f>L28-M28</f>
        <v/>
      </c>
      <c r="O28" s="2" t="n"/>
      <c r="P28" s="2" t="n"/>
    </row>
    <row r="29">
      <c r="A29" s="5" t="inlineStr">
        <is>
          <t>ORD-0172</t>
        </is>
      </c>
      <c r="B29" s="50" t="n">
        <v>46125</v>
      </c>
      <c r="C29" s="5" t="inlineStr">
        <is>
          <t>S06</t>
        </is>
      </c>
      <c r="D29" s="5" t="inlineStr">
        <is>
          <t>Gurugram</t>
        </is>
      </c>
      <c r="E29" s="5" t="inlineStr">
        <is>
          <t>P402</t>
        </is>
      </c>
      <c r="F29" s="5" t="inlineStr">
        <is>
          <t>Accessories</t>
        </is>
      </c>
      <c r="G29" s="5" t="n">
        <v>1</v>
      </c>
      <c r="H29" s="51" t="n">
        <v>1499</v>
      </c>
      <c r="I29" s="62" t="n">
        <v>0</v>
      </c>
      <c r="J29" s="5" t="inlineStr">
        <is>
          <t>Online</t>
        </is>
      </c>
      <c r="K29" s="5" t="inlineStr">
        <is>
          <t>No</t>
        </is>
      </c>
      <c r="L29" s="51">
        <f>G29*H29*(1-I29)</f>
        <v/>
      </c>
      <c r="M29" s="51">
        <f>G29*INDEX(Lookups!$E$3:$E$12,MATCH(E29,Lookups!$A$3:$A$12,0))</f>
        <v/>
      </c>
      <c r="N29" s="51">
        <f>L29-M29</f>
        <v/>
      </c>
      <c r="O29" s="2" t="n"/>
      <c r="P29" s="2" t="n"/>
    </row>
    <row r="30">
      <c r="A30" s="5" t="inlineStr">
        <is>
          <t>ORD-0236</t>
        </is>
      </c>
      <c r="B30" s="50" t="n">
        <v>46125</v>
      </c>
      <c r="C30" s="5" t="inlineStr">
        <is>
          <t>S03</t>
        </is>
      </c>
      <c r="D30" s="5" t="inlineStr">
        <is>
          <t>Delhi</t>
        </is>
      </c>
      <c r="E30" s="5" t="inlineStr">
        <is>
          <t>P101</t>
        </is>
      </c>
      <c r="F30" s="5" t="inlineStr">
        <is>
          <t>Mobiles</t>
        </is>
      </c>
      <c r="G30" s="5" t="n">
        <v>3</v>
      </c>
      <c r="H30" s="51" t="n">
        <v>18999</v>
      </c>
      <c r="I30" s="62" t="n">
        <v>0</v>
      </c>
      <c r="J30" s="5" t="inlineStr">
        <is>
          <t>Online</t>
        </is>
      </c>
      <c r="K30" s="5" t="inlineStr">
        <is>
          <t>No</t>
        </is>
      </c>
      <c r="L30" s="51">
        <f>G30*H30*(1-I30)</f>
        <v/>
      </c>
      <c r="M30" s="51">
        <f>G30*INDEX(Lookups!$E$3:$E$12,MATCH(E30,Lookups!$A$3:$A$12,0))</f>
        <v/>
      </c>
      <c r="N30" s="51">
        <f>L30-M30</f>
        <v/>
      </c>
      <c r="O30" s="2" t="n"/>
      <c r="P30" s="2" t="n"/>
    </row>
    <row r="31">
      <c r="A31" s="5" t="inlineStr">
        <is>
          <t>ORD-0051</t>
        </is>
      </c>
      <c r="B31" s="50" t="n">
        <v>46126</v>
      </c>
      <c r="C31" s="5" t="inlineStr">
        <is>
          <t>S04</t>
        </is>
      </c>
      <c r="D31" s="5" t="inlineStr">
        <is>
          <t>Bengaluru</t>
        </is>
      </c>
      <c r="E31" s="5" t="inlineStr">
        <is>
          <t>P301</t>
        </is>
      </c>
      <c r="F31" s="5" t="inlineStr">
        <is>
          <t>Audio</t>
        </is>
      </c>
      <c r="G31" s="5" t="n">
        <v>1</v>
      </c>
      <c r="H31" s="51" t="n">
        <v>2999</v>
      </c>
      <c r="I31" s="62" t="n">
        <v>0.1</v>
      </c>
      <c r="J31" s="5" t="inlineStr">
        <is>
          <t>Online</t>
        </is>
      </c>
      <c r="K31" s="5" t="inlineStr">
        <is>
          <t>No</t>
        </is>
      </c>
      <c r="L31" s="51">
        <f>G31*H31*(1-I31)</f>
        <v/>
      </c>
      <c r="M31" s="51">
        <f>G31*INDEX(Lookups!$E$3:$E$12,MATCH(E31,Lookups!$A$3:$A$12,0))</f>
        <v/>
      </c>
      <c r="N31" s="51">
        <f>L31-M31</f>
        <v/>
      </c>
      <c r="O31" s="2" t="n"/>
      <c r="P31" s="2" t="n"/>
    </row>
    <row r="32">
      <c r="A32" s="5" t="inlineStr">
        <is>
          <t>ORD-0179</t>
        </is>
      </c>
      <c r="B32" s="50" t="n">
        <v>46126</v>
      </c>
      <c r="C32" s="5" t="inlineStr">
        <is>
          <t>S01</t>
        </is>
      </c>
      <c r="D32" s="5" t="inlineStr">
        <is>
          <t>Mumbai</t>
        </is>
      </c>
      <c r="E32" s="5" t="inlineStr">
        <is>
          <t>P501</t>
        </is>
      </c>
      <c r="F32" s="5" t="inlineStr">
        <is>
          <t>TV</t>
        </is>
      </c>
      <c r="G32" s="5" t="n">
        <v>1</v>
      </c>
      <c r="H32" s="51" t="n">
        <v>32999</v>
      </c>
      <c r="I32" s="62" t="n">
        <v>0</v>
      </c>
      <c r="J32" s="5" t="inlineStr">
        <is>
          <t>Online</t>
        </is>
      </c>
      <c r="K32" s="5" t="inlineStr">
        <is>
          <t>Yes</t>
        </is>
      </c>
      <c r="L32" s="51">
        <f>G32*H32*(1-I32)</f>
        <v/>
      </c>
      <c r="M32" s="51">
        <f>G32*INDEX(Lookups!$E$3:$E$12,MATCH(E32,Lookups!$A$3:$A$12,0))</f>
        <v/>
      </c>
      <c r="N32" s="51">
        <f>L32-M32</f>
        <v/>
      </c>
      <c r="O32" s="2" t="n"/>
      <c r="P32" s="2" t="n"/>
    </row>
    <row r="33">
      <c r="A33" s="5" t="inlineStr">
        <is>
          <t>ORD-0273</t>
        </is>
      </c>
      <c r="B33" s="50" t="n">
        <v>46126</v>
      </c>
      <c r="C33" s="5" t="inlineStr">
        <is>
          <t>S02</t>
        </is>
      </c>
      <c r="D33" s="5" t="inlineStr">
        <is>
          <t>Pune</t>
        </is>
      </c>
      <c r="E33" s="5" t="inlineStr">
        <is>
          <t>P302</t>
        </is>
      </c>
      <c r="F33" s="5" t="inlineStr">
        <is>
          <t>Audio</t>
        </is>
      </c>
      <c r="G33" s="5" t="n">
        <v>1</v>
      </c>
      <c r="H33" s="51" t="n">
        <v>4499</v>
      </c>
      <c r="I33" s="62" t="n">
        <v>0.1</v>
      </c>
      <c r="J33" s="5" t="inlineStr">
        <is>
          <t>Online</t>
        </is>
      </c>
      <c r="K33" s="5" t="inlineStr">
        <is>
          <t>Yes</t>
        </is>
      </c>
      <c r="L33" s="51">
        <f>G33*H33*(1-I33)</f>
        <v/>
      </c>
      <c r="M33" s="51">
        <f>G33*INDEX(Lookups!$E$3:$E$12,MATCH(E33,Lookups!$A$3:$A$12,0))</f>
        <v/>
      </c>
      <c r="N33" s="51">
        <f>L33-M33</f>
        <v/>
      </c>
      <c r="O33" s="2" t="n"/>
      <c r="P33" s="2" t="n"/>
    </row>
    <row r="34">
      <c r="A34" s="5" t="inlineStr">
        <is>
          <t>ORD-0029</t>
        </is>
      </c>
      <c r="B34" s="50" t="n">
        <v>46127</v>
      </c>
      <c r="C34" s="5" t="inlineStr">
        <is>
          <t>S05</t>
        </is>
      </c>
      <c r="D34" s="5" t="inlineStr">
        <is>
          <t>Chennai</t>
        </is>
      </c>
      <c r="E34" s="5" t="inlineStr">
        <is>
          <t>P502</t>
        </is>
      </c>
      <c r="F34" s="5" t="inlineStr">
        <is>
          <t>TV</t>
        </is>
      </c>
      <c r="G34" s="5" t="n">
        <v>2</v>
      </c>
      <c r="H34" s="51" t="n">
        <v>52999</v>
      </c>
      <c r="I34" s="62" t="n">
        <v>0</v>
      </c>
      <c r="J34" s="5" t="inlineStr">
        <is>
          <t>Corporate</t>
        </is>
      </c>
      <c r="K34" s="5" t="inlineStr">
        <is>
          <t>No</t>
        </is>
      </c>
      <c r="L34" s="51">
        <f>G34*H34*(1-I34)</f>
        <v/>
      </c>
      <c r="M34" s="51">
        <f>G34*INDEX(Lookups!$E$3:$E$12,MATCH(E34,Lookups!$A$3:$A$12,0))</f>
        <v/>
      </c>
      <c r="N34" s="51">
        <f>L34-M34</f>
        <v/>
      </c>
      <c r="O34" s="2" t="n"/>
      <c r="P34" s="2" t="n"/>
    </row>
    <row r="35">
      <c r="A35" s="5" t="inlineStr">
        <is>
          <t>ORD-0122</t>
        </is>
      </c>
      <c r="B35" s="50" t="n">
        <v>46127</v>
      </c>
      <c r="C35" s="5" t="inlineStr">
        <is>
          <t>S06</t>
        </is>
      </c>
      <c r="D35" s="5" t="inlineStr">
        <is>
          <t>Gurugram</t>
        </is>
      </c>
      <c r="E35" s="5" t="inlineStr">
        <is>
          <t>P301</t>
        </is>
      </c>
      <c r="F35" s="5" t="inlineStr">
        <is>
          <t>Audio</t>
        </is>
      </c>
      <c r="G35" s="5" t="n">
        <v>2</v>
      </c>
      <c r="H35" s="51" t="n">
        <v>2999</v>
      </c>
      <c r="I35" s="62" t="n">
        <v>0.05</v>
      </c>
      <c r="J35" s="5" t="inlineStr">
        <is>
          <t>Corporate</t>
        </is>
      </c>
      <c r="K35" s="5" t="inlineStr">
        <is>
          <t>No</t>
        </is>
      </c>
      <c r="L35" s="51">
        <f>G35*H35*(1-I35)</f>
        <v/>
      </c>
      <c r="M35" s="51">
        <f>G35*INDEX(Lookups!$E$3:$E$12,MATCH(E35,Lookups!$A$3:$A$12,0))</f>
        <v/>
      </c>
      <c r="N35" s="51">
        <f>L35-M35</f>
        <v/>
      </c>
      <c r="O35" s="2" t="n"/>
      <c r="P35" s="2" t="n"/>
    </row>
    <row r="36">
      <c r="A36" s="5" t="inlineStr">
        <is>
          <t>ORD-0068</t>
        </is>
      </c>
      <c r="B36" s="50" t="n">
        <v>46129</v>
      </c>
      <c r="C36" s="5" t="inlineStr">
        <is>
          <t>S05</t>
        </is>
      </c>
      <c r="D36" s="5" t="inlineStr">
        <is>
          <t>Chennai</t>
        </is>
      </c>
      <c r="E36" s="5" t="inlineStr">
        <is>
          <t>P402</t>
        </is>
      </c>
      <c r="F36" s="5" t="inlineStr">
        <is>
          <t>Accessories</t>
        </is>
      </c>
      <c r="G36" s="5" t="n">
        <v>1</v>
      </c>
      <c r="H36" s="51" t="n">
        <v>1499</v>
      </c>
      <c r="I36" s="62" t="n">
        <v>0</v>
      </c>
      <c r="J36" s="5" t="inlineStr">
        <is>
          <t>Corporate</t>
        </is>
      </c>
      <c r="K36" s="5" t="inlineStr">
        <is>
          <t>No</t>
        </is>
      </c>
      <c r="L36" s="51">
        <f>G36*H36*(1-I36)</f>
        <v/>
      </c>
      <c r="M36" s="51">
        <f>G36*INDEX(Lookups!$E$3:$E$12,MATCH(E36,Lookups!$A$3:$A$12,0))</f>
        <v/>
      </c>
      <c r="N36" s="51">
        <f>L36-M36</f>
        <v/>
      </c>
      <c r="O36" s="2" t="n"/>
      <c r="P36" s="2" t="n"/>
    </row>
    <row r="37">
      <c r="A37" s="5" t="inlineStr">
        <is>
          <t>ORD-0303</t>
        </is>
      </c>
      <c r="B37" s="50" t="n">
        <v>46129</v>
      </c>
      <c r="C37" s="5" t="inlineStr">
        <is>
          <t>S04</t>
        </is>
      </c>
      <c r="D37" s="5" t="inlineStr">
        <is>
          <t>Bengaluru</t>
        </is>
      </c>
      <c r="E37" s="5" t="inlineStr">
        <is>
          <t>P301</t>
        </is>
      </c>
      <c r="F37" s="5" t="inlineStr">
        <is>
          <t>Audio</t>
        </is>
      </c>
      <c r="G37" s="5" t="n">
        <v>1</v>
      </c>
      <c r="H37" s="51" t="n">
        <v>2999</v>
      </c>
      <c r="I37" s="62" t="n">
        <v>0.05</v>
      </c>
      <c r="J37" s="5" t="inlineStr">
        <is>
          <t>Corporate</t>
        </is>
      </c>
      <c r="K37" s="5" t="inlineStr">
        <is>
          <t>Yes</t>
        </is>
      </c>
      <c r="L37" s="51">
        <f>G37*H37*(1-I37)</f>
        <v/>
      </c>
      <c r="M37" s="51">
        <f>G37*INDEX(Lookups!$E$3:$E$12,MATCH(E37,Lookups!$A$3:$A$12,0))</f>
        <v/>
      </c>
      <c r="N37" s="51">
        <f>L37-M37</f>
        <v/>
      </c>
      <c r="O37" s="2" t="n"/>
      <c r="P37" s="2" t="n"/>
    </row>
    <row r="38">
      <c r="A38" s="5" t="inlineStr">
        <is>
          <t>ORD-0225</t>
        </is>
      </c>
      <c r="B38" s="50" t="n">
        <v>46131</v>
      </c>
      <c r="C38" s="5" t="inlineStr">
        <is>
          <t>S04</t>
        </is>
      </c>
      <c r="D38" s="5" t="inlineStr">
        <is>
          <t>Bengaluru</t>
        </is>
      </c>
      <c r="E38" s="5" t="inlineStr">
        <is>
          <t>P402</t>
        </is>
      </c>
      <c r="F38" s="5" t="inlineStr">
        <is>
          <t>Accessories</t>
        </is>
      </c>
      <c r="G38" s="5" t="n">
        <v>1</v>
      </c>
      <c r="H38" s="51" t="n">
        <v>1499</v>
      </c>
      <c r="I38" s="62" t="n">
        <v>0</v>
      </c>
      <c r="J38" s="5" t="inlineStr">
        <is>
          <t>Walk-in</t>
        </is>
      </c>
      <c r="K38" s="5" t="inlineStr">
        <is>
          <t>Yes</t>
        </is>
      </c>
      <c r="L38" s="51">
        <f>G38*H38*(1-I38)</f>
        <v/>
      </c>
      <c r="M38" s="51">
        <f>G38*INDEX(Lookups!$E$3:$E$12,MATCH(E38,Lookups!$A$3:$A$12,0))</f>
        <v/>
      </c>
      <c r="N38" s="51">
        <f>L38-M38</f>
        <v/>
      </c>
      <c r="O38" s="2" t="n"/>
      <c r="P38" s="2" t="n"/>
    </row>
    <row r="39">
      <c r="A39" s="5" t="inlineStr">
        <is>
          <t>ORD-0085</t>
        </is>
      </c>
      <c r="B39" s="50" t="n">
        <v>46132</v>
      </c>
      <c r="C39" s="5" t="inlineStr">
        <is>
          <t>S01</t>
        </is>
      </c>
      <c r="D39" s="5" t="inlineStr">
        <is>
          <t>Mumbai</t>
        </is>
      </c>
      <c r="E39" s="5" t="inlineStr">
        <is>
          <t>P301</t>
        </is>
      </c>
      <c r="F39" s="5" t="inlineStr">
        <is>
          <t>Audio</t>
        </is>
      </c>
      <c r="G39" s="5" t="n">
        <v>1</v>
      </c>
      <c r="H39" s="51" t="n">
        <v>2999</v>
      </c>
      <c r="I39" s="62" t="n">
        <v>0</v>
      </c>
      <c r="J39" s="5" t="inlineStr">
        <is>
          <t>Corporate</t>
        </is>
      </c>
      <c r="K39" s="5" t="inlineStr">
        <is>
          <t>No</t>
        </is>
      </c>
      <c r="L39" s="51">
        <f>G39*H39*(1-I39)</f>
        <v/>
      </c>
      <c r="M39" s="51">
        <f>G39*INDEX(Lookups!$E$3:$E$12,MATCH(E39,Lookups!$A$3:$A$12,0))</f>
        <v/>
      </c>
      <c r="N39" s="51">
        <f>L39-M39</f>
        <v/>
      </c>
      <c r="O39" s="2" t="n"/>
      <c r="P39" s="2" t="n"/>
    </row>
    <row r="40">
      <c r="A40" s="5" t="inlineStr">
        <is>
          <t>ORD-0132</t>
        </is>
      </c>
      <c r="B40" s="50" t="n">
        <v>46132</v>
      </c>
      <c r="C40" s="5" t="inlineStr">
        <is>
          <t>S06</t>
        </is>
      </c>
      <c r="D40" s="5" t="inlineStr">
        <is>
          <t>Gurugram</t>
        </is>
      </c>
      <c r="E40" s="5" t="inlineStr">
        <is>
          <t>P101</t>
        </is>
      </c>
      <c r="F40" s="5" t="inlineStr">
        <is>
          <t>Mobiles</t>
        </is>
      </c>
      <c r="G40" s="5" t="n">
        <v>1</v>
      </c>
      <c r="H40" s="51" t="n">
        <v>18999</v>
      </c>
      <c r="I40" s="62" t="n">
        <v>0.05</v>
      </c>
      <c r="J40" s="5" t="inlineStr">
        <is>
          <t>Online</t>
        </is>
      </c>
      <c r="K40" s="5" t="inlineStr">
        <is>
          <t>Yes</t>
        </is>
      </c>
      <c r="L40" s="51">
        <f>G40*H40*(1-I40)</f>
        <v/>
      </c>
      <c r="M40" s="51">
        <f>G40*INDEX(Lookups!$E$3:$E$12,MATCH(E40,Lookups!$A$3:$A$12,0))</f>
        <v/>
      </c>
      <c r="N40" s="51">
        <f>L40-M40</f>
        <v/>
      </c>
      <c r="O40" s="2" t="n"/>
      <c r="P40" s="2" t="n"/>
    </row>
    <row r="41">
      <c r="A41" s="5" t="inlineStr">
        <is>
          <t>ORD-0127</t>
        </is>
      </c>
      <c r="B41" s="50" t="n">
        <v>46133</v>
      </c>
      <c r="C41" s="5" t="inlineStr">
        <is>
          <t>S01</t>
        </is>
      </c>
      <c r="D41" s="5" t="inlineStr">
        <is>
          <t>Mumbai</t>
        </is>
      </c>
      <c r="E41" s="5" t="inlineStr">
        <is>
          <t>P301</t>
        </is>
      </c>
      <c r="F41" s="5" t="inlineStr">
        <is>
          <t>Audio</t>
        </is>
      </c>
      <c r="G41" s="5" t="n">
        <v>2</v>
      </c>
      <c r="H41" s="51" t="n">
        <v>2999</v>
      </c>
      <c r="I41" s="62" t="n">
        <v>0.1</v>
      </c>
      <c r="J41" s="5" t="inlineStr">
        <is>
          <t>Corporate</t>
        </is>
      </c>
      <c r="K41" s="5" t="inlineStr">
        <is>
          <t>Yes</t>
        </is>
      </c>
      <c r="L41" s="51">
        <f>G41*H41*(1-I41)</f>
        <v/>
      </c>
      <c r="M41" s="51">
        <f>G41*INDEX(Lookups!$E$3:$E$12,MATCH(E41,Lookups!$A$3:$A$12,0))</f>
        <v/>
      </c>
      <c r="N41" s="51">
        <f>L41-M41</f>
        <v/>
      </c>
      <c r="O41" s="2" t="n"/>
      <c r="P41" s="2" t="n"/>
    </row>
    <row r="42">
      <c r="A42" s="5" t="inlineStr">
        <is>
          <t>ORD-0281</t>
        </is>
      </c>
      <c r="B42" s="50" t="n">
        <v>46134</v>
      </c>
      <c r="C42" s="5" t="inlineStr">
        <is>
          <t>S03</t>
        </is>
      </c>
      <c r="D42" s="5" t="inlineStr">
        <is>
          <t>Delhi</t>
        </is>
      </c>
      <c r="E42" s="5" t="inlineStr">
        <is>
          <t>P302</t>
        </is>
      </c>
      <c r="F42" s="5" t="inlineStr">
        <is>
          <t>Audio</t>
        </is>
      </c>
      <c r="G42" s="5" t="n">
        <v>3</v>
      </c>
      <c r="H42" s="51" t="n">
        <v>4499</v>
      </c>
      <c r="I42" s="62" t="n">
        <v>0.1</v>
      </c>
      <c r="J42" s="5" t="inlineStr">
        <is>
          <t>Online</t>
        </is>
      </c>
      <c r="K42" s="5" t="inlineStr">
        <is>
          <t>Yes</t>
        </is>
      </c>
      <c r="L42" s="51">
        <f>G42*H42*(1-I42)</f>
        <v/>
      </c>
      <c r="M42" s="51">
        <f>G42*INDEX(Lookups!$E$3:$E$12,MATCH(E42,Lookups!$A$3:$A$12,0))</f>
        <v/>
      </c>
      <c r="N42" s="51">
        <f>L42-M42</f>
        <v/>
      </c>
      <c r="O42" s="2" t="n"/>
      <c r="P42" s="2" t="n"/>
    </row>
    <row r="43">
      <c r="A43" s="5" t="inlineStr">
        <is>
          <t>ORD-0170</t>
        </is>
      </c>
      <c r="B43" s="50" t="n">
        <v>46135</v>
      </c>
      <c r="C43" s="5" t="inlineStr">
        <is>
          <t>S05</t>
        </is>
      </c>
      <c r="D43" s="5" t="inlineStr">
        <is>
          <t>Chennai</t>
        </is>
      </c>
      <c r="E43" s="5" t="inlineStr">
        <is>
          <t>P501</t>
        </is>
      </c>
      <c r="F43" s="5" t="inlineStr">
        <is>
          <t>TV</t>
        </is>
      </c>
      <c r="G43" s="5" t="n">
        <v>1</v>
      </c>
      <c r="H43" s="51" t="n">
        <v>32999</v>
      </c>
      <c r="I43" s="62" t="n">
        <v>0</v>
      </c>
      <c r="J43" s="5" t="inlineStr">
        <is>
          <t>Online</t>
        </is>
      </c>
      <c r="K43" s="5" t="inlineStr">
        <is>
          <t>Yes</t>
        </is>
      </c>
      <c r="L43" s="51">
        <f>G43*H43*(1-I43)</f>
        <v/>
      </c>
      <c r="M43" s="51">
        <f>G43*INDEX(Lookups!$E$3:$E$12,MATCH(E43,Lookups!$A$3:$A$12,0))</f>
        <v/>
      </c>
      <c r="N43" s="51">
        <f>L43-M43</f>
        <v/>
      </c>
      <c r="O43" s="2" t="n"/>
      <c r="P43" s="2" t="n"/>
    </row>
    <row r="44">
      <c r="A44" s="5" t="inlineStr">
        <is>
          <t>ORD-0232</t>
        </is>
      </c>
      <c r="B44" s="50" t="n">
        <v>46135</v>
      </c>
      <c r="C44" s="5" t="inlineStr">
        <is>
          <t>S03</t>
        </is>
      </c>
      <c r="D44" s="5" t="inlineStr">
        <is>
          <t>Delhi</t>
        </is>
      </c>
      <c r="E44" s="5" t="inlineStr">
        <is>
          <t>P202</t>
        </is>
      </c>
      <c r="F44" s="5" t="inlineStr">
        <is>
          <t>Laptops</t>
        </is>
      </c>
      <c r="G44" s="5" t="n">
        <v>1</v>
      </c>
      <c r="H44" s="51" t="n">
        <v>94999</v>
      </c>
      <c r="I44" s="62" t="n">
        <v>0</v>
      </c>
      <c r="J44" s="5" t="inlineStr">
        <is>
          <t>Online</t>
        </is>
      </c>
      <c r="K44" s="5" t="inlineStr">
        <is>
          <t>Yes</t>
        </is>
      </c>
      <c r="L44" s="51">
        <f>G44*H44*(1-I44)</f>
        <v/>
      </c>
      <c r="M44" s="51">
        <f>G44*INDEX(Lookups!$E$3:$E$12,MATCH(E44,Lookups!$A$3:$A$12,0))</f>
        <v/>
      </c>
      <c r="N44" s="51">
        <f>L44-M44</f>
        <v/>
      </c>
      <c r="O44" s="2" t="n"/>
      <c r="P44" s="2" t="n"/>
    </row>
    <row r="45">
      <c r="A45" s="5" t="inlineStr">
        <is>
          <t>ORD-0010</t>
        </is>
      </c>
      <c r="B45" s="50" t="n">
        <v>46136</v>
      </c>
      <c r="C45" s="5" t="inlineStr">
        <is>
          <t>S05</t>
        </is>
      </c>
      <c r="D45" s="5" t="inlineStr">
        <is>
          <t>Chennai</t>
        </is>
      </c>
      <c r="E45" s="5" t="inlineStr">
        <is>
          <t>P202</t>
        </is>
      </c>
      <c r="F45" s="5" t="inlineStr">
        <is>
          <t>Laptops</t>
        </is>
      </c>
      <c r="G45" s="5" t="n">
        <v>1</v>
      </c>
      <c r="H45" s="51" t="n">
        <v>94999</v>
      </c>
      <c r="I45" s="62" t="n">
        <v>0</v>
      </c>
      <c r="J45" s="5" t="inlineStr">
        <is>
          <t>Online</t>
        </is>
      </c>
      <c r="K45" s="5" t="inlineStr">
        <is>
          <t>No</t>
        </is>
      </c>
      <c r="L45" s="51">
        <f>G45*H45*(1-I45)</f>
        <v/>
      </c>
      <c r="M45" s="51">
        <f>G45*INDEX(Lookups!$E$3:$E$12,MATCH(E45,Lookups!$A$3:$A$12,0))</f>
        <v/>
      </c>
      <c r="N45" s="51">
        <f>L45-M45</f>
        <v/>
      </c>
      <c r="O45" s="2" t="n"/>
      <c r="P45" s="2" t="n"/>
    </row>
    <row r="46">
      <c r="A46" s="5" t="inlineStr">
        <is>
          <t>ORD-0227</t>
        </is>
      </c>
      <c r="B46" s="50" t="n">
        <v>46137</v>
      </c>
      <c r="C46" s="5" t="inlineStr">
        <is>
          <t>S02</t>
        </is>
      </c>
      <c r="D46" s="5" t="inlineStr">
        <is>
          <t>Pune</t>
        </is>
      </c>
      <c r="E46" s="5" t="inlineStr">
        <is>
          <t>P201</t>
        </is>
      </c>
      <c r="F46" s="5" t="inlineStr">
        <is>
          <t>Laptops</t>
        </is>
      </c>
      <c r="G46" s="5" t="n">
        <v>1</v>
      </c>
      <c r="H46" s="51" t="n">
        <v>54999</v>
      </c>
      <c r="I46" s="62" t="n">
        <v>0</v>
      </c>
      <c r="J46" s="5" t="inlineStr">
        <is>
          <t>Corporate</t>
        </is>
      </c>
      <c r="K46" s="5" t="inlineStr">
        <is>
          <t>No</t>
        </is>
      </c>
      <c r="L46" s="51">
        <f>G46*H46*(1-I46)</f>
        <v/>
      </c>
      <c r="M46" s="51">
        <f>G46*INDEX(Lookups!$E$3:$E$12,MATCH(E46,Lookups!$A$3:$A$12,0))</f>
        <v/>
      </c>
      <c r="N46" s="51">
        <f>L46-M46</f>
        <v/>
      </c>
      <c r="O46" s="2" t="n"/>
      <c r="P46" s="2" t="n"/>
    </row>
    <row r="47">
      <c r="A47" s="5" t="inlineStr">
        <is>
          <t>ORD-0097</t>
        </is>
      </c>
      <c r="B47" s="50" t="n">
        <v>46138</v>
      </c>
      <c r="C47" s="5" t="inlineStr">
        <is>
          <t>S01</t>
        </is>
      </c>
      <c r="D47" s="5" t="inlineStr">
        <is>
          <t>Mumbai</t>
        </is>
      </c>
      <c r="E47" s="5" t="inlineStr">
        <is>
          <t>P402</t>
        </is>
      </c>
      <c r="F47" s="5" t="inlineStr">
        <is>
          <t>Accessories</t>
        </is>
      </c>
      <c r="G47" s="5" t="n">
        <v>3</v>
      </c>
      <c r="H47" s="51" t="n">
        <v>1499</v>
      </c>
      <c r="I47" s="62" t="n">
        <v>0.05</v>
      </c>
      <c r="J47" s="5" t="inlineStr">
        <is>
          <t>Corporate</t>
        </is>
      </c>
      <c r="K47" s="5" t="inlineStr">
        <is>
          <t>No</t>
        </is>
      </c>
      <c r="L47" s="51">
        <f>G47*H47*(1-I47)</f>
        <v/>
      </c>
      <c r="M47" s="51">
        <f>G47*INDEX(Lookups!$E$3:$E$12,MATCH(E47,Lookups!$A$3:$A$12,0))</f>
        <v/>
      </c>
      <c r="N47" s="51">
        <f>L47-M47</f>
        <v/>
      </c>
      <c r="O47" s="2" t="n"/>
      <c r="P47" s="2" t="n"/>
    </row>
    <row r="48">
      <c r="A48" s="5" t="inlineStr">
        <is>
          <t>ORD-0171</t>
        </is>
      </c>
      <c r="B48" s="50" t="n">
        <v>46138</v>
      </c>
      <c r="C48" s="5" t="inlineStr">
        <is>
          <t>S05</t>
        </is>
      </c>
      <c r="D48" s="5" t="inlineStr">
        <is>
          <t>Chennai</t>
        </is>
      </c>
      <c r="E48" s="5" t="inlineStr">
        <is>
          <t>P302</t>
        </is>
      </c>
      <c r="F48" s="5" t="inlineStr">
        <is>
          <t>Audio</t>
        </is>
      </c>
      <c r="G48" s="5" t="n">
        <v>1</v>
      </c>
      <c r="H48" s="51" t="n">
        <v>4499</v>
      </c>
      <c r="I48" s="62" t="n">
        <v>0</v>
      </c>
      <c r="J48" s="5" t="inlineStr">
        <is>
          <t>Walk-in</t>
        </is>
      </c>
      <c r="K48" s="5" t="inlineStr">
        <is>
          <t>No</t>
        </is>
      </c>
      <c r="L48" s="51">
        <f>G48*H48*(1-I48)</f>
        <v/>
      </c>
      <c r="M48" s="51">
        <f>G48*INDEX(Lookups!$E$3:$E$12,MATCH(E48,Lookups!$A$3:$A$12,0))</f>
        <v/>
      </c>
      <c r="N48" s="51">
        <f>L48-M48</f>
        <v/>
      </c>
      <c r="O48" s="2" t="n"/>
      <c r="P48" s="2" t="n"/>
    </row>
    <row r="49">
      <c r="A49" s="5" t="inlineStr">
        <is>
          <t>ORD-0233</t>
        </is>
      </c>
      <c r="B49" s="50" t="n">
        <v>46138</v>
      </c>
      <c r="C49" s="5" t="inlineStr">
        <is>
          <t>S02</t>
        </is>
      </c>
      <c r="D49" s="5" t="inlineStr">
        <is>
          <t>Pune</t>
        </is>
      </c>
      <c r="E49" s="5" t="inlineStr">
        <is>
          <t>P501</t>
        </is>
      </c>
      <c r="F49" s="5" t="inlineStr">
        <is>
          <t>TV</t>
        </is>
      </c>
      <c r="G49" s="5" t="n">
        <v>1</v>
      </c>
      <c r="H49" s="51" t="n">
        <v>32999</v>
      </c>
      <c r="I49" s="62" t="n">
        <v>0</v>
      </c>
      <c r="J49" s="5" t="inlineStr">
        <is>
          <t>Corporate</t>
        </is>
      </c>
      <c r="K49" s="5" t="inlineStr">
        <is>
          <t>No</t>
        </is>
      </c>
      <c r="L49" s="51">
        <f>G49*H49*(1-I49)</f>
        <v/>
      </c>
      <c r="M49" s="51">
        <f>G49*INDEX(Lookups!$E$3:$E$12,MATCH(E49,Lookups!$A$3:$A$12,0))</f>
        <v/>
      </c>
      <c r="N49" s="51">
        <f>L49-M49</f>
        <v/>
      </c>
      <c r="O49" s="2" t="n"/>
      <c r="P49" s="2" t="n"/>
    </row>
    <row r="50">
      <c r="A50" s="5" t="inlineStr">
        <is>
          <t>ORD-0296</t>
        </is>
      </c>
      <c r="B50" s="50" t="n">
        <v>46138</v>
      </c>
      <c r="C50" s="5" t="inlineStr">
        <is>
          <t>S03</t>
        </is>
      </c>
      <c r="D50" s="5" t="inlineStr">
        <is>
          <t>Delhi</t>
        </is>
      </c>
      <c r="E50" s="5" t="inlineStr">
        <is>
          <t>P201</t>
        </is>
      </c>
      <c r="F50" s="5" t="inlineStr">
        <is>
          <t>Laptops</t>
        </is>
      </c>
      <c r="G50" s="5" t="n">
        <v>2</v>
      </c>
      <c r="H50" s="51" t="n">
        <v>54999</v>
      </c>
      <c r="I50" s="62" t="n">
        <v>0</v>
      </c>
      <c r="J50" s="5" t="inlineStr">
        <is>
          <t>Online</t>
        </is>
      </c>
      <c r="K50" s="5" t="inlineStr">
        <is>
          <t>Yes</t>
        </is>
      </c>
      <c r="L50" s="51">
        <f>G50*H50*(1-I50)</f>
        <v/>
      </c>
      <c r="M50" s="51">
        <f>G50*INDEX(Lookups!$E$3:$E$12,MATCH(E50,Lookups!$A$3:$A$12,0))</f>
        <v/>
      </c>
      <c r="N50" s="51">
        <f>L50-M50</f>
        <v/>
      </c>
      <c r="O50" s="2" t="n"/>
      <c r="P50" s="2" t="n"/>
    </row>
    <row r="51">
      <c r="A51" s="5" t="inlineStr">
        <is>
          <t>ORD-0304</t>
        </is>
      </c>
      <c r="B51" s="50" t="n">
        <v>46139</v>
      </c>
      <c r="C51" s="5" t="inlineStr">
        <is>
          <t>S02</t>
        </is>
      </c>
      <c r="D51" s="5" t="inlineStr">
        <is>
          <t>Pune</t>
        </is>
      </c>
      <c r="E51" s="5" t="inlineStr">
        <is>
          <t>P401</t>
        </is>
      </c>
      <c r="F51" s="5" t="inlineStr">
        <is>
          <t>Accessories</t>
        </is>
      </c>
      <c r="G51" s="5" t="n">
        <v>2</v>
      </c>
      <c r="H51" s="51" t="n">
        <v>1799</v>
      </c>
      <c r="I51" s="62" t="n">
        <v>0</v>
      </c>
      <c r="J51" s="5" t="inlineStr">
        <is>
          <t>Online</t>
        </is>
      </c>
      <c r="K51" s="5" t="inlineStr">
        <is>
          <t>No</t>
        </is>
      </c>
      <c r="L51" s="51">
        <f>G51*H51*(1-I51)</f>
        <v/>
      </c>
      <c r="M51" s="51">
        <f>G51*INDEX(Lookups!$E$3:$E$12,MATCH(E51,Lookups!$A$3:$A$12,0))</f>
        <v/>
      </c>
      <c r="N51" s="51">
        <f>L51-M51</f>
        <v/>
      </c>
      <c r="O51" s="2" t="n"/>
      <c r="P51" s="2" t="n"/>
    </row>
    <row r="52">
      <c r="A52" s="5" t="inlineStr">
        <is>
          <t>ORD-0248</t>
        </is>
      </c>
      <c r="B52" s="50" t="n">
        <v>46140</v>
      </c>
      <c r="C52" s="5" t="inlineStr">
        <is>
          <t>S02</t>
        </is>
      </c>
      <c r="D52" s="5" t="inlineStr">
        <is>
          <t>Pune</t>
        </is>
      </c>
      <c r="E52" s="5" t="inlineStr">
        <is>
          <t>P101</t>
        </is>
      </c>
      <c r="F52" s="5" t="inlineStr">
        <is>
          <t>Mobiles</t>
        </is>
      </c>
      <c r="G52" s="5" t="n">
        <v>2</v>
      </c>
      <c r="H52" s="51" t="n">
        <v>18999</v>
      </c>
      <c r="I52" s="62" t="n">
        <v>0.1</v>
      </c>
      <c r="J52" s="5" t="inlineStr">
        <is>
          <t>Online</t>
        </is>
      </c>
      <c r="K52" s="5" t="inlineStr">
        <is>
          <t>No</t>
        </is>
      </c>
      <c r="L52" s="51">
        <f>G52*H52*(1-I52)</f>
        <v/>
      </c>
      <c r="M52" s="51">
        <f>G52*INDEX(Lookups!$E$3:$E$12,MATCH(E52,Lookups!$A$3:$A$12,0))</f>
        <v/>
      </c>
      <c r="N52" s="51">
        <f>L52-M52</f>
        <v/>
      </c>
      <c r="O52" s="2" t="n"/>
      <c r="P52" s="2" t="n"/>
    </row>
    <row r="53">
      <c r="A53" s="5" t="inlineStr">
        <is>
          <t>ORD-0283</t>
        </is>
      </c>
      <c r="B53" s="50" t="n">
        <v>46140</v>
      </c>
      <c r="C53" s="5" t="inlineStr">
        <is>
          <t>S03</t>
        </is>
      </c>
      <c r="D53" s="5" t="inlineStr">
        <is>
          <t>Delhi</t>
        </is>
      </c>
      <c r="E53" s="5" t="inlineStr">
        <is>
          <t>P301</t>
        </is>
      </c>
      <c r="F53" s="5" t="inlineStr">
        <is>
          <t>Audio</t>
        </is>
      </c>
      <c r="G53" s="5" t="n">
        <v>1</v>
      </c>
      <c r="H53" s="51" t="n">
        <v>2999</v>
      </c>
      <c r="I53" s="62" t="n">
        <v>0</v>
      </c>
      <c r="J53" s="5" t="inlineStr">
        <is>
          <t>Walk-in</t>
        </is>
      </c>
      <c r="K53" s="5" t="inlineStr">
        <is>
          <t>No</t>
        </is>
      </c>
      <c r="L53" s="51">
        <f>G53*H53*(1-I53)</f>
        <v/>
      </c>
      <c r="M53" s="51">
        <f>G53*INDEX(Lookups!$E$3:$E$12,MATCH(E53,Lookups!$A$3:$A$12,0))</f>
        <v/>
      </c>
      <c r="N53" s="51">
        <f>L53-M53</f>
        <v/>
      </c>
      <c r="O53" s="2" t="n"/>
      <c r="P53" s="2" t="n"/>
    </row>
    <row r="54">
      <c r="A54" s="5" t="inlineStr">
        <is>
          <t>ORD-0288</t>
        </is>
      </c>
      <c r="B54" s="50" t="n">
        <v>46140</v>
      </c>
      <c r="C54" s="5" t="inlineStr">
        <is>
          <t>S03</t>
        </is>
      </c>
      <c r="D54" s="5" t="inlineStr">
        <is>
          <t>Delhi</t>
        </is>
      </c>
      <c r="E54" s="5" t="inlineStr">
        <is>
          <t>P102</t>
        </is>
      </c>
      <c r="F54" s="5" t="inlineStr">
        <is>
          <t>Mobiles</t>
        </is>
      </c>
      <c r="G54" s="5" t="n">
        <v>1</v>
      </c>
      <c r="H54" s="51" t="n">
        <v>32999</v>
      </c>
      <c r="I54" s="62" t="n">
        <v>0</v>
      </c>
      <c r="J54" s="5" t="inlineStr">
        <is>
          <t>Walk-in</t>
        </is>
      </c>
      <c r="K54" s="5" t="inlineStr">
        <is>
          <t>No</t>
        </is>
      </c>
      <c r="L54" s="51">
        <f>G54*H54*(1-I54)</f>
        <v/>
      </c>
      <c r="M54" s="51">
        <f>G54*INDEX(Lookups!$E$3:$E$12,MATCH(E54,Lookups!$A$3:$A$12,0))</f>
        <v/>
      </c>
      <c r="N54" s="51">
        <f>L54-M54</f>
        <v/>
      </c>
      <c r="O54" s="2" t="n"/>
      <c r="P54" s="2" t="n"/>
    </row>
    <row r="55">
      <c r="A55" s="5" t="inlineStr">
        <is>
          <t>ORD-0354</t>
        </is>
      </c>
      <c r="B55" s="50" t="n">
        <v>46140</v>
      </c>
      <c r="C55" s="5" t="inlineStr">
        <is>
          <t>S04</t>
        </is>
      </c>
      <c r="D55" s="5" t="inlineStr">
        <is>
          <t>Bengaluru</t>
        </is>
      </c>
      <c r="E55" s="5" t="inlineStr">
        <is>
          <t>P302</t>
        </is>
      </c>
      <c r="F55" s="5" t="inlineStr">
        <is>
          <t>Audio</t>
        </is>
      </c>
      <c r="G55" s="5" t="n">
        <v>1</v>
      </c>
      <c r="H55" s="51" t="n">
        <v>4499</v>
      </c>
      <c r="I55" s="62" t="n">
        <v>0</v>
      </c>
      <c r="J55" s="5" t="inlineStr">
        <is>
          <t>Corporate</t>
        </is>
      </c>
      <c r="K55" s="5" t="inlineStr">
        <is>
          <t>No</t>
        </is>
      </c>
      <c r="L55" s="51">
        <f>G55*H55*(1-I55)</f>
        <v/>
      </c>
      <c r="M55" s="51">
        <f>G55*INDEX(Lookups!$E$3:$E$12,MATCH(E55,Lookups!$A$3:$A$12,0))</f>
        <v/>
      </c>
      <c r="N55" s="51">
        <f>L55-M55</f>
        <v/>
      </c>
      <c r="O55" s="2" t="n"/>
      <c r="P55" s="2" t="n"/>
    </row>
    <row r="56">
      <c r="A56" s="5" t="inlineStr">
        <is>
          <t>ORD-0210</t>
        </is>
      </c>
      <c r="B56" s="50" t="n">
        <v>46141</v>
      </c>
      <c r="C56" s="5" t="inlineStr">
        <is>
          <t>S06</t>
        </is>
      </c>
      <c r="D56" s="5" t="inlineStr">
        <is>
          <t>Gurugram</t>
        </is>
      </c>
      <c r="E56" s="5" t="inlineStr">
        <is>
          <t>P102</t>
        </is>
      </c>
      <c r="F56" s="5" t="inlineStr">
        <is>
          <t>Mobiles</t>
        </is>
      </c>
      <c r="G56" s="5" t="n">
        <v>2</v>
      </c>
      <c r="H56" s="51" t="n">
        <v>32999</v>
      </c>
      <c r="I56" s="62" t="n">
        <v>0</v>
      </c>
      <c r="J56" s="5" t="inlineStr">
        <is>
          <t>Online</t>
        </is>
      </c>
      <c r="K56" s="5" t="inlineStr">
        <is>
          <t>No</t>
        </is>
      </c>
      <c r="L56" s="51">
        <f>G56*H56*(1-I56)</f>
        <v/>
      </c>
      <c r="M56" s="51">
        <f>G56*INDEX(Lookups!$E$3:$E$12,MATCH(E56,Lookups!$A$3:$A$12,0))</f>
        <v/>
      </c>
      <c r="N56" s="51">
        <f>L56-M56</f>
        <v/>
      </c>
      <c r="O56" s="2" t="n"/>
      <c r="P56" s="2" t="n"/>
    </row>
    <row r="57">
      <c r="A57" s="5" t="inlineStr">
        <is>
          <t>ORD-0229</t>
        </is>
      </c>
      <c r="B57" s="50" t="n">
        <v>46141</v>
      </c>
      <c r="C57" s="5" t="inlineStr">
        <is>
          <t>S05</t>
        </is>
      </c>
      <c r="D57" s="5" t="inlineStr">
        <is>
          <t>Chennai</t>
        </is>
      </c>
      <c r="E57" s="5" t="inlineStr">
        <is>
          <t>P401</t>
        </is>
      </c>
      <c r="F57" s="5" t="inlineStr">
        <is>
          <t>Accessories</t>
        </is>
      </c>
      <c r="G57" s="5" t="n">
        <v>3</v>
      </c>
      <c r="H57" s="51" t="n">
        <v>1799</v>
      </c>
      <c r="I57" s="62" t="n">
        <v>0</v>
      </c>
      <c r="J57" s="5" t="inlineStr">
        <is>
          <t>Walk-in</t>
        </is>
      </c>
      <c r="K57" s="5" t="inlineStr">
        <is>
          <t>No</t>
        </is>
      </c>
      <c r="L57" s="51">
        <f>G57*H57*(1-I57)</f>
        <v/>
      </c>
      <c r="M57" s="51">
        <f>G57*INDEX(Lookups!$E$3:$E$12,MATCH(E57,Lookups!$A$3:$A$12,0))</f>
        <v/>
      </c>
      <c r="N57" s="51">
        <f>L57-M57</f>
        <v/>
      </c>
      <c r="O57" s="2" t="n"/>
      <c r="P57" s="2" t="n"/>
    </row>
    <row r="58">
      <c r="A58" s="5" t="inlineStr">
        <is>
          <t>ORD-0329</t>
        </is>
      </c>
      <c r="B58" s="50" t="n">
        <v>46141</v>
      </c>
      <c r="C58" s="5" t="inlineStr">
        <is>
          <t>S02</t>
        </is>
      </c>
      <c r="D58" s="5" t="inlineStr">
        <is>
          <t>Pune</t>
        </is>
      </c>
      <c r="E58" s="5" t="inlineStr">
        <is>
          <t>P101</t>
        </is>
      </c>
      <c r="F58" s="5" t="inlineStr">
        <is>
          <t>Mobiles</t>
        </is>
      </c>
      <c r="G58" s="5" t="n">
        <v>1</v>
      </c>
      <c r="H58" s="51" t="n">
        <v>18999</v>
      </c>
      <c r="I58" s="62" t="n">
        <v>0</v>
      </c>
      <c r="J58" s="5" t="inlineStr">
        <is>
          <t>Corporate</t>
        </is>
      </c>
      <c r="K58" s="5" t="inlineStr">
        <is>
          <t>No</t>
        </is>
      </c>
      <c r="L58" s="51">
        <f>G58*H58*(1-I58)</f>
        <v/>
      </c>
      <c r="M58" s="51">
        <f>G58*INDEX(Lookups!$E$3:$E$12,MATCH(E58,Lookups!$A$3:$A$12,0))</f>
        <v/>
      </c>
      <c r="N58" s="51">
        <f>L58-M58</f>
        <v/>
      </c>
      <c r="O58" s="2" t="n"/>
      <c r="P58" s="2" t="n"/>
    </row>
    <row r="59">
      <c r="A59" s="5" t="inlineStr">
        <is>
          <t>ORD-0344</t>
        </is>
      </c>
      <c r="B59" s="50" t="n">
        <v>46142</v>
      </c>
      <c r="C59" s="5" t="inlineStr">
        <is>
          <t>S05</t>
        </is>
      </c>
      <c r="D59" s="5" t="inlineStr">
        <is>
          <t>Chennai</t>
        </is>
      </c>
      <c r="E59" s="5" t="inlineStr">
        <is>
          <t>P201</t>
        </is>
      </c>
      <c r="F59" s="5" t="inlineStr">
        <is>
          <t>Laptops</t>
        </is>
      </c>
      <c r="G59" s="5" t="n">
        <v>2</v>
      </c>
      <c r="H59" s="51" t="n">
        <v>54999</v>
      </c>
      <c r="I59" s="62" t="n">
        <v>0.1</v>
      </c>
      <c r="J59" s="5" t="inlineStr">
        <is>
          <t>Online</t>
        </is>
      </c>
      <c r="K59" s="5" t="inlineStr">
        <is>
          <t>No</t>
        </is>
      </c>
      <c r="L59" s="51">
        <f>G59*H59*(1-I59)</f>
        <v/>
      </c>
      <c r="M59" s="51">
        <f>G59*INDEX(Lookups!$E$3:$E$12,MATCH(E59,Lookups!$A$3:$A$12,0))</f>
        <v/>
      </c>
      <c r="N59" s="51">
        <f>L59-M59</f>
        <v/>
      </c>
      <c r="O59" s="2" t="n"/>
      <c r="P59" s="2" t="n"/>
    </row>
    <row r="60">
      <c r="A60" s="5" t="inlineStr">
        <is>
          <t>ORD-0041</t>
        </is>
      </c>
      <c r="B60" s="50" t="n">
        <v>46143</v>
      </c>
      <c r="C60" s="5" t="inlineStr">
        <is>
          <t>S01</t>
        </is>
      </c>
      <c r="D60" s="5" t="inlineStr">
        <is>
          <t>Mumbai</t>
        </is>
      </c>
      <c r="E60" s="5" t="inlineStr">
        <is>
          <t>P301</t>
        </is>
      </c>
      <c r="F60" s="5" t="inlineStr">
        <is>
          <t>Audio</t>
        </is>
      </c>
      <c r="G60" s="5" t="n">
        <v>1</v>
      </c>
      <c r="H60" s="51" t="n">
        <v>2999</v>
      </c>
      <c r="I60" s="62" t="n">
        <v>0.05</v>
      </c>
      <c r="J60" s="5" t="inlineStr">
        <is>
          <t>Corporate</t>
        </is>
      </c>
      <c r="K60" s="5" t="inlineStr">
        <is>
          <t>Yes</t>
        </is>
      </c>
      <c r="L60" s="51">
        <f>G60*H60*(1-I60)</f>
        <v/>
      </c>
      <c r="M60" s="51">
        <f>G60*INDEX(Lookups!$E$3:$E$12,MATCH(E60,Lookups!$A$3:$A$12,0))</f>
        <v/>
      </c>
      <c r="N60" s="51">
        <f>L60-M60</f>
        <v/>
      </c>
      <c r="O60" s="2" t="n"/>
      <c r="P60" s="2" t="n"/>
    </row>
    <row r="61">
      <c r="A61" s="5" t="inlineStr">
        <is>
          <t>ORD-0119</t>
        </is>
      </c>
      <c r="B61" s="50" t="n">
        <v>46143</v>
      </c>
      <c r="C61" s="5" t="inlineStr">
        <is>
          <t>S05</t>
        </is>
      </c>
      <c r="D61" s="5" t="inlineStr">
        <is>
          <t>Chennai</t>
        </is>
      </c>
      <c r="E61" s="5" t="inlineStr">
        <is>
          <t>P401</t>
        </is>
      </c>
      <c r="F61" s="5" t="inlineStr">
        <is>
          <t>Accessories</t>
        </is>
      </c>
      <c r="G61" s="5" t="n">
        <v>2</v>
      </c>
      <c r="H61" s="51" t="n">
        <v>1799</v>
      </c>
      <c r="I61" s="62" t="n">
        <v>0.05</v>
      </c>
      <c r="J61" s="5" t="inlineStr">
        <is>
          <t>Corporate</t>
        </is>
      </c>
      <c r="K61" s="5" t="inlineStr">
        <is>
          <t>Yes</t>
        </is>
      </c>
      <c r="L61" s="51">
        <f>G61*H61*(1-I61)</f>
        <v/>
      </c>
      <c r="M61" s="51">
        <f>G61*INDEX(Lookups!$E$3:$E$12,MATCH(E61,Lookups!$A$3:$A$12,0))</f>
        <v/>
      </c>
      <c r="N61" s="51">
        <f>L61-M61</f>
        <v/>
      </c>
      <c r="O61" s="2" t="n"/>
      <c r="P61" s="2" t="n"/>
    </row>
    <row r="62">
      <c r="A62" s="5" t="inlineStr">
        <is>
          <t>ORD-0134</t>
        </is>
      </c>
      <c r="B62" s="50" t="n">
        <v>46145</v>
      </c>
      <c r="C62" s="5" t="inlineStr">
        <is>
          <t>S03</t>
        </is>
      </c>
      <c r="D62" s="5" t="inlineStr">
        <is>
          <t>Delhi</t>
        </is>
      </c>
      <c r="E62" s="5" t="inlineStr">
        <is>
          <t>P301</t>
        </is>
      </c>
      <c r="F62" s="5" t="inlineStr">
        <is>
          <t>Audio</t>
        </is>
      </c>
      <c r="G62" s="5" t="n">
        <v>1</v>
      </c>
      <c r="H62" s="51" t="n">
        <v>2999</v>
      </c>
      <c r="I62" s="62" t="n">
        <v>0.05</v>
      </c>
      <c r="J62" s="5" t="inlineStr">
        <is>
          <t>Walk-in</t>
        </is>
      </c>
      <c r="K62" s="5" t="inlineStr">
        <is>
          <t>No</t>
        </is>
      </c>
      <c r="L62" s="51">
        <f>G62*H62*(1-I62)</f>
        <v/>
      </c>
      <c r="M62" s="51">
        <f>G62*INDEX(Lookups!$E$3:$E$12,MATCH(E62,Lookups!$A$3:$A$12,0))</f>
        <v/>
      </c>
      <c r="N62" s="51">
        <f>L62-M62</f>
        <v/>
      </c>
      <c r="O62" s="2" t="n"/>
      <c r="P62" s="2" t="n"/>
    </row>
    <row r="63">
      <c r="A63" s="5" t="inlineStr">
        <is>
          <t>ORD-0152</t>
        </is>
      </c>
      <c r="B63" s="50" t="n">
        <v>46145</v>
      </c>
      <c r="C63" s="5" t="inlineStr">
        <is>
          <t>S03</t>
        </is>
      </c>
      <c r="D63" s="5" t="inlineStr">
        <is>
          <t>Delhi</t>
        </is>
      </c>
      <c r="E63" s="5" t="inlineStr">
        <is>
          <t>P301</t>
        </is>
      </c>
      <c r="F63" s="5" t="inlineStr">
        <is>
          <t>Audio</t>
        </is>
      </c>
      <c r="G63" s="5" t="n">
        <v>2</v>
      </c>
      <c r="H63" s="51" t="n">
        <v>2999</v>
      </c>
      <c r="I63" s="62" t="n">
        <v>0.05</v>
      </c>
      <c r="J63" s="5" t="inlineStr">
        <is>
          <t>Online</t>
        </is>
      </c>
      <c r="K63" s="5" t="inlineStr">
        <is>
          <t>No</t>
        </is>
      </c>
      <c r="L63" s="51">
        <f>G63*H63*(1-I63)</f>
        <v/>
      </c>
      <c r="M63" s="51">
        <f>G63*INDEX(Lookups!$E$3:$E$12,MATCH(E63,Lookups!$A$3:$A$12,0))</f>
        <v/>
      </c>
      <c r="N63" s="51">
        <f>L63-M63</f>
        <v/>
      </c>
      <c r="O63" s="2" t="n"/>
      <c r="P63" s="2" t="n"/>
    </row>
    <row r="64">
      <c r="A64" s="5" t="inlineStr">
        <is>
          <t>ORD-0221</t>
        </is>
      </c>
      <c r="B64" s="50" t="n">
        <v>46145</v>
      </c>
      <c r="C64" s="5" t="inlineStr">
        <is>
          <t>S04</t>
        </is>
      </c>
      <c r="D64" s="5" t="inlineStr">
        <is>
          <t>Bengaluru</t>
        </is>
      </c>
      <c r="E64" s="5" t="inlineStr">
        <is>
          <t>P102</t>
        </is>
      </c>
      <c r="F64" s="5" t="inlineStr">
        <is>
          <t>Mobiles</t>
        </is>
      </c>
      <c r="G64" s="5" t="n">
        <v>1</v>
      </c>
      <c r="H64" s="51" t="n">
        <v>32999</v>
      </c>
      <c r="I64" s="62" t="n">
        <v>0</v>
      </c>
      <c r="J64" s="5" t="inlineStr">
        <is>
          <t>Online</t>
        </is>
      </c>
      <c r="K64" s="5" t="inlineStr">
        <is>
          <t>No</t>
        </is>
      </c>
      <c r="L64" s="51">
        <f>G64*H64*(1-I64)</f>
        <v/>
      </c>
      <c r="M64" s="51">
        <f>G64*INDEX(Lookups!$E$3:$E$12,MATCH(E64,Lookups!$A$3:$A$12,0))</f>
        <v/>
      </c>
      <c r="N64" s="51">
        <f>L64-M64</f>
        <v/>
      </c>
      <c r="O64" s="2" t="n"/>
      <c r="P64" s="2" t="n"/>
    </row>
    <row r="65">
      <c r="A65" s="5" t="inlineStr">
        <is>
          <t>ORD-0252</t>
        </is>
      </c>
      <c r="B65" s="50" t="n">
        <v>46145</v>
      </c>
      <c r="C65" s="5" t="inlineStr">
        <is>
          <t>S02</t>
        </is>
      </c>
      <c r="D65" s="5" t="inlineStr">
        <is>
          <t>Pune</t>
        </is>
      </c>
      <c r="E65" s="5" t="inlineStr">
        <is>
          <t>P301</t>
        </is>
      </c>
      <c r="F65" s="5" t="inlineStr">
        <is>
          <t>Audio</t>
        </is>
      </c>
      <c r="G65" s="5" t="n">
        <v>1</v>
      </c>
      <c r="H65" s="51" t="n">
        <v>2999</v>
      </c>
      <c r="I65" s="62" t="n">
        <v>0.1</v>
      </c>
      <c r="J65" s="5" t="inlineStr">
        <is>
          <t>Walk-in</t>
        </is>
      </c>
      <c r="K65" s="5" t="inlineStr">
        <is>
          <t>No</t>
        </is>
      </c>
      <c r="L65" s="51">
        <f>G65*H65*(1-I65)</f>
        <v/>
      </c>
      <c r="M65" s="51">
        <f>G65*INDEX(Lookups!$E$3:$E$12,MATCH(E65,Lookups!$A$3:$A$12,0))</f>
        <v/>
      </c>
      <c r="N65" s="51">
        <f>L65-M65</f>
        <v/>
      </c>
      <c r="O65" s="2" t="n"/>
      <c r="P65" s="2" t="n"/>
    </row>
    <row r="66">
      <c r="A66" s="5" t="inlineStr">
        <is>
          <t>ORD-0335</t>
        </is>
      </c>
      <c r="B66" s="50" t="n">
        <v>46145</v>
      </c>
      <c r="C66" s="5" t="inlineStr">
        <is>
          <t>S02</t>
        </is>
      </c>
      <c r="D66" s="5" t="inlineStr">
        <is>
          <t>Pune</t>
        </is>
      </c>
      <c r="E66" s="5" t="inlineStr">
        <is>
          <t>P101</t>
        </is>
      </c>
      <c r="F66" s="5" t="inlineStr">
        <is>
          <t>Mobiles</t>
        </is>
      </c>
      <c r="G66" s="5" t="n">
        <v>1</v>
      </c>
      <c r="H66" s="51" t="n">
        <v>18999</v>
      </c>
      <c r="I66" s="62" t="n">
        <v>0</v>
      </c>
      <c r="J66" s="5" t="inlineStr">
        <is>
          <t>Online</t>
        </is>
      </c>
      <c r="K66" s="5" t="inlineStr">
        <is>
          <t>No</t>
        </is>
      </c>
      <c r="L66" s="51">
        <f>G66*H66*(1-I66)</f>
        <v/>
      </c>
      <c r="M66" s="51">
        <f>G66*INDEX(Lookups!$E$3:$E$12,MATCH(E66,Lookups!$A$3:$A$12,0))</f>
        <v/>
      </c>
      <c r="N66" s="51">
        <f>L66-M66</f>
        <v/>
      </c>
      <c r="O66" s="2" t="n"/>
      <c r="P66" s="2" t="n"/>
    </row>
    <row r="67">
      <c r="A67" s="5" t="inlineStr">
        <is>
          <t>ORD-0363</t>
        </is>
      </c>
      <c r="B67" s="50" t="n">
        <v>46146</v>
      </c>
      <c r="C67" s="5" t="inlineStr">
        <is>
          <t>S04</t>
        </is>
      </c>
      <c r="D67" s="5" t="inlineStr">
        <is>
          <t>Bengaluru</t>
        </is>
      </c>
      <c r="E67" s="5" t="inlineStr">
        <is>
          <t>P401</t>
        </is>
      </c>
      <c r="F67" s="5" t="inlineStr">
        <is>
          <t>Accessories</t>
        </is>
      </c>
      <c r="G67" s="5" t="n">
        <v>1</v>
      </c>
      <c r="H67" s="51" t="n">
        <v>1799</v>
      </c>
      <c r="I67" s="62" t="n">
        <v>0</v>
      </c>
      <c r="J67" s="5" t="inlineStr">
        <is>
          <t>Walk-in</t>
        </is>
      </c>
      <c r="K67" s="5" t="inlineStr">
        <is>
          <t>No</t>
        </is>
      </c>
      <c r="L67" s="51">
        <f>G67*H67*(1-I67)</f>
        <v/>
      </c>
      <c r="M67" s="51">
        <f>G67*INDEX(Lookups!$E$3:$E$12,MATCH(E67,Lookups!$A$3:$A$12,0))</f>
        <v/>
      </c>
      <c r="N67" s="51">
        <f>L67-M67</f>
        <v/>
      </c>
      <c r="O67" s="2" t="n"/>
      <c r="P67" s="2" t="n"/>
    </row>
    <row r="68">
      <c r="A68" s="5" t="inlineStr">
        <is>
          <t>ORD-0033</t>
        </is>
      </c>
      <c r="B68" s="50" t="n">
        <v>46147</v>
      </c>
      <c r="C68" s="5" t="inlineStr">
        <is>
          <t>S03</t>
        </is>
      </c>
      <c r="D68" s="5" t="inlineStr">
        <is>
          <t>Delhi</t>
        </is>
      </c>
      <c r="E68" s="5" t="inlineStr">
        <is>
          <t>P401</t>
        </is>
      </c>
      <c r="F68" s="5" t="inlineStr">
        <is>
          <t>Accessories</t>
        </is>
      </c>
      <c r="G68" s="5" t="n">
        <v>1</v>
      </c>
      <c r="H68" s="51" t="n">
        <v>1799</v>
      </c>
      <c r="I68" s="62" t="n">
        <v>0</v>
      </c>
      <c r="J68" s="5" t="inlineStr">
        <is>
          <t>Walk-in</t>
        </is>
      </c>
      <c r="K68" s="5" t="inlineStr">
        <is>
          <t>No</t>
        </is>
      </c>
      <c r="L68" s="51">
        <f>G68*H68*(1-I68)</f>
        <v/>
      </c>
      <c r="M68" s="51">
        <f>G68*INDEX(Lookups!$E$3:$E$12,MATCH(E68,Lookups!$A$3:$A$12,0))</f>
        <v/>
      </c>
      <c r="N68" s="51">
        <f>L68-M68</f>
        <v/>
      </c>
      <c r="O68" s="2" t="n"/>
      <c r="P68" s="2" t="n"/>
    </row>
    <row r="69">
      <c r="A69" s="5" t="inlineStr">
        <is>
          <t>ORD-0246</t>
        </is>
      </c>
      <c r="B69" s="50" t="n">
        <v>46147</v>
      </c>
      <c r="C69" s="5" t="inlineStr">
        <is>
          <t>S01</t>
        </is>
      </c>
      <c r="D69" s="5" t="inlineStr">
        <is>
          <t>Mumbai</t>
        </is>
      </c>
      <c r="E69" s="5" t="inlineStr">
        <is>
          <t>P401</t>
        </is>
      </c>
      <c r="F69" s="5" t="inlineStr">
        <is>
          <t>Accessories</t>
        </is>
      </c>
      <c r="G69" s="5" t="n">
        <v>1</v>
      </c>
      <c r="H69" s="51" t="n">
        <v>1799</v>
      </c>
      <c r="I69" s="62" t="n">
        <v>0.05</v>
      </c>
      <c r="J69" s="5" t="inlineStr">
        <is>
          <t>Walk-in</t>
        </is>
      </c>
      <c r="K69" s="5" t="inlineStr">
        <is>
          <t>Yes</t>
        </is>
      </c>
      <c r="L69" s="51">
        <f>G69*H69*(1-I69)</f>
        <v/>
      </c>
      <c r="M69" s="51">
        <f>G69*INDEX(Lookups!$E$3:$E$12,MATCH(E69,Lookups!$A$3:$A$12,0))</f>
        <v/>
      </c>
      <c r="N69" s="51">
        <f>L69-M69</f>
        <v/>
      </c>
      <c r="O69" s="2" t="n"/>
      <c r="P69" s="2" t="n"/>
    </row>
    <row r="70">
      <c r="A70" s="5" t="inlineStr">
        <is>
          <t>ORD-0164</t>
        </is>
      </c>
      <c r="B70" s="50" t="n">
        <v>46148</v>
      </c>
      <c r="C70" s="5" t="inlineStr">
        <is>
          <t>S02</t>
        </is>
      </c>
      <c r="D70" s="5" t="inlineStr">
        <is>
          <t>Pune</t>
        </is>
      </c>
      <c r="E70" s="5" t="inlineStr">
        <is>
          <t>P302</t>
        </is>
      </c>
      <c r="F70" s="5" t="inlineStr">
        <is>
          <t>Audio</t>
        </is>
      </c>
      <c r="G70" s="5" t="n">
        <v>2</v>
      </c>
      <c r="H70" s="51" t="n">
        <v>4499</v>
      </c>
      <c r="I70" s="62" t="n">
        <v>0.1</v>
      </c>
      <c r="J70" s="5" t="inlineStr">
        <is>
          <t>Online</t>
        </is>
      </c>
      <c r="K70" s="5" t="inlineStr">
        <is>
          <t>No</t>
        </is>
      </c>
      <c r="L70" s="51">
        <f>G70*H70*(1-I70)</f>
        <v/>
      </c>
      <c r="M70" s="51">
        <f>G70*INDEX(Lookups!$E$3:$E$12,MATCH(E70,Lookups!$A$3:$A$12,0))</f>
        <v/>
      </c>
      <c r="N70" s="51">
        <f>L70-M70</f>
        <v/>
      </c>
      <c r="O70" s="2" t="n"/>
      <c r="P70" s="2" t="n"/>
    </row>
    <row r="71">
      <c r="A71" s="5" t="inlineStr">
        <is>
          <t>ORD-0226</t>
        </is>
      </c>
      <c r="B71" s="50" t="n">
        <v>46148</v>
      </c>
      <c r="C71" s="5" t="inlineStr">
        <is>
          <t>S06</t>
        </is>
      </c>
      <c r="D71" s="5" t="inlineStr">
        <is>
          <t>Gurugram</t>
        </is>
      </c>
      <c r="E71" s="5" t="inlineStr">
        <is>
          <t>P301</t>
        </is>
      </c>
      <c r="F71" s="5" t="inlineStr">
        <is>
          <t>Audio</t>
        </is>
      </c>
      <c r="G71" s="5" t="n">
        <v>1</v>
      </c>
      <c r="H71" s="51" t="n">
        <v>2999</v>
      </c>
      <c r="I71" s="62" t="n">
        <v>0</v>
      </c>
      <c r="J71" s="5" t="inlineStr">
        <is>
          <t>Corporate</t>
        </is>
      </c>
      <c r="K71" s="5" t="inlineStr">
        <is>
          <t>No</t>
        </is>
      </c>
      <c r="L71" s="51">
        <f>G71*H71*(1-I71)</f>
        <v/>
      </c>
      <c r="M71" s="51">
        <f>G71*INDEX(Lookups!$E$3:$E$12,MATCH(E71,Lookups!$A$3:$A$12,0))</f>
        <v/>
      </c>
      <c r="N71" s="51">
        <f>L71-M71</f>
        <v/>
      </c>
      <c r="O71" s="2" t="n"/>
      <c r="P71" s="2" t="n"/>
    </row>
    <row r="72">
      <c r="A72" s="5" t="inlineStr">
        <is>
          <t>ORD-0338</t>
        </is>
      </c>
      <c r="B72" s="50" t="n">
        <v>46148</v>
      </c>
      <c r="C72" s="5" t="inlineStr">
        <is>
          <t>S01</t>
        </is>
      </c>
      <c r="D72" s="5" t="inlineStr">
        <is>
          <t>Mumbai</t>
        </is>
      </c>
      <c r="E72" s="5" t="inlineStr">
        <is>
          <t>P401</t>
        </is>
      </c>
      <c r="F72" s="5" t="inlineStr">
        <is>
          <t>Accessories</t>
        </is>
      </c>
      <c r="G72" s="5" t="n">
        <v>1</v>
      </c>
      <c r="H72" s="51" t="n">
        <v>1799</v>
      </c>
      <c r="I72" s="62" t="n">
        <v>0.1</v>
      </c>
      <c r="J72" s="5" t="inlineStr">
        <is>
          <t>Walk-in</t>
        </is>
      </c>
      <c r="K72" s="5" t="inlineStr">
        <is>
          <t>Yes</t>
        </is>
      </c>
      <c r="L72" s="51">
        <f>G72*H72*(1-I72)</f>
        <v/>
      </c>
      <c r="M72" s="51">
        <f>G72*INDEX(Lookups!$E$3:$E$12,MATCH(E72,Lookups!$A$3:$A$12,0))</f>
        <v/>
      </c>
      <c r="N72" s="51">
        <f>L72-M72</f>
        <v/>
      </c>
      <c r="O72" s="2" t="n"/>
      <c r="P72" s="2" t="n"/>
    </row>
    <row r="73">
      <c r="A73" s="5" t="inlineStr">
        <is>
          <t>ORD-0383</t>
        </is>
      </c>
      <c r="B73" s="50" t="n">
        <v>46148</v>
      </c>
      <c r="C73" s="5" t="inlineStr">
        <is>
          <t>S04</t>
        </is>
      </c>
      <c r="D73" s="5" t="inlineStr">
        <is>
          <t>Bengaluru</t>
        </is>
      </c>
      <c r="E73" s="5" t="inlineStr">
        <is>
          <t>P201</t>
        </is>
      </c>
      <c r="F73" s="5" t="inlineStr">
        <is>
          <t>Laptops</t>
        </is>
      </c>
      <c r="G73" s="5" t="n">
        <v>3</v>
      </c>
      <c r="H73" s="51" t="n">
        <v>54999</v>
      </c>
      <c r="I73" s="62" t="n">
        <v>0</v>
      </c>
      <c r="J73" s="5" t="inlineStr">
        <is>
          <t>Online</t>
        </is>
      </c>
      <c r="K73" s="5" t="inlineStr">
        <is>
          <t>No</t>
        </is>
      </c>
      <c r="L73" s="51">
        <f>G73*H73*(1-I73)</f>
        <v/>
      </c>
      <c r="M73" s="51">
        <f>G73*INDEX(Lookups!$E$3:$E$12,MATCH(E73,Lookups!$A$3:$A$12,0))</f>
        <v/>
      </c>
      <c r="N73" s="51">
        <f>L73-M73</f>
        <v/>
      </c>
      <c r="O73" s="2" t="n"/>
      <c r="P73" s="2" t="n"/>
    </row>
    <row r="74">
      <c r="A74" s="5" t="inlineStr">
        <is>
          <t>ORD-0394</t>
        </is>
      </c>
      <c r="B74" s="50" t="n">
        <v>46148</v>
      </c>
      <c r="C74" s="5" t="inlineStr">
        <is>
          <t>S06</t>
        </is>
      </c>
      <c r="D74" s="5" t="inlineStr">
        <is>
          <t>Gurugram</t>
        </is>
      </c>
      <c r="E74" s="5" t="inlineStr">
        <is>
          <t>P401</t>
        </is>
      </c>
      <c r="F74" s="5" t="inlineStr">
        <is>
          <t>Accessories</t>
        </is>
      </c>
      <c r="G74" s="5" t="n">
        <v>2</v>
      </c>
      <c r="H74" s="51" t="n">
        <v>1799</v>
      </c>
      <c r="I74" s="62" t="n">
        <v>0</v>
      </c>
      <c r="J74" s="5" t="inlineStr">
        <is>
          <t>Online</t>
        </is>
      </c>
      <c r="K74" s="5" t="inlineStr">
        <is>
          <t>Yes</t>
        </is>
      </c>
      <c r="L74" s="51">
        <f>G74*H74*(1-I74)</f>
        <v/>
      </c>
      <c r="M74" s="51">
        <f>G74*INDEX(Lookups!$E$3:$E$12,MATCH(E74,Lookups!$A$3:$A$12,0))</f>
        <v/>
      </c>
      <c r="N74" s="51">
        <f>L74-M74</f>
        <v/>
      </c>
      <c r="O74" s="2" t="n"/>
      <c r="P74" s="2" t="n"/>
    </row>
    <row r="75">
      <c r="A75" s="5" t="inlineStr">
        <is>
          <t>ORD-0049</t>
        </is>
      </c>
      <c r="B75" s="50" t="n">
        <v>46149</v>
      </c>
      <c r="C75" s="5" t="inlineStr">
        <is>
          <t>S04</t>
        </is>
      </c>
      <c r="D75" s="5" t="inlineStr">
        <is>
          <t>Bengaluru</t>
        </is>
      </c>
      <c r="E75" s="5" t="inlineStr">
        <is>
          <t>P101</t>
        </is>
      </c>
      <c r="F75" s="5" t="inlineStr">
        <is>
          <t>Mobiles</t>
        </is>
      </c>
      <c r="G75" s="5" t="n">
        <v>1</v>
      </c>
      <c r="H75" s="51" t="n">
        <v>18999</v>
      </c>
      <c r="I75" s="62" t="n">
        <v>0.1</v>
      </c>
      <c r="J75" s="5" t="inlineStr">
        <is>
          <t>Online</t>
        </is>
      </c>
      <c r="K75" s="5" t="inlineStr">
        <is>
          <t>No</t>
        </is>
      </c>
      <c r="L75" s="51">
        <f>G75*H75*(1-I75)</f>
        <v/>
      </c>
      <c r="M75" s="51">
        <f>G75*INDEX(Lookups!$E$3:$E$12,MATCH(E75,Lookups!$A$3:$A$12,0))</f>
        <v/>
      </c>
      <c r="N75" s="51">
        <f>L75-M75</f>
        <v/>
      </c>
      <c r="O75" s="2" t="n"/>
      <c r="P75" s="2" t="n"/>
    </row>
    <row r="76">
      <c r="A76" s="5" t="inlineStr">
        <is>
          <t>ORD-0196</t>
        </is>
      </c>
      <c r="B76" s="50" t="n">
        <v>46149</v>
      </c>
      <c r="C76" s="5" t="inlineStr">
        <is>
          <t>S06</t>
        </is>
      </c>
      <c r="D76" s="5" t="inlineStr">
        <is>
          <t>Gurugram</t>
        </is>
      </c>
      <c r="E76" s="5" t="inlineStr">
        <is>
          <t>P101</t>
        </is>
      </c>
      <c r="F76" s="5" t="inlineStr">
        <is>
          <t>Mobiles</t>
        </is>
      </c>
      <c r="G76" s="5" t="n">
        <v>1</v>
      </c>
      <c r="H76" s="51" t="n">
        <v>18999</v>
      </c>
      <c r="I76" s="62" t="n">
        <v>0</v>
      </c>
      <c r="J76" s="5" t="inlineStr">
        <is>
          <t>Corporate</t>
        </is>
      </c>
      <c r="K76" s="5" t="inlineStr">
        <is>
          <t>Yes</t>
        </is>
      </c>
      <c r="L76" s="51">
        <f>G76*H76*(1-I76)</f>
        <v/>
      </c>
      <c r="M76" s="51">
        <f>G76*INDEX(Lookups!$E$3:$E$12,MATCH(E76,Lookups!$A$3:$A$12,0))</f>
        <v/>
      </c>
      <c r="N76" s="51">
        <f>L76-M76</f>
        <v/>
      </c>
      <c r="O76" s="2" t="n"/>
      <c r="P76" s="2" t="n"/>
    </row>
    <row r="77">
      <c r="A77" s="5" t="inlineStr">
        <is>
          <t>ORD-0355</t>
        </is>
      </c>
      <c r="B77" s="50" t="n">
        <v>46149</v>
      </c>
      <c r="C77" s="5" t="inlineStr">
        <is>
          <t>S03</t>
        </is>
      </c>
      <c r="D77" s="5" t="inlineStr">
        <is>
          <t>Delhi</t>
        </is>
      </c>
      <c r="E77" s="5" t="inlineStr">
        <is>
          <t>P402</t>
        </is>
      </c>
      <c r="F77" s="5" t="inlineStr">
        <is>
          <t>Accessories</t>
        </is>
      </c>
      <c r="G77" s="5" t="n">
        <v>1</v>
      </c>
      <c r="H77" s="51" t="n">
        <v>1499</v>
      </c>
      <c r="I77" s="62" t="n">
        <v>0</v>
      </c>
      <c r="J77" s="5" t="inlineStr">
        <is>
          <t>Corporate</t>
        </is>
      </c>
      <c r="K77" s="5" t="inlineStr">
        <is>
          <t>No</t>
        </is>
      </c>
      <c r="L77" s="51">
        <f>G77*H77*(1-I77)</f>
        <v/>
      </c>
      <c r="M77" s="51">
        <f>G77*INDEX(Lookups!$E$3:$E$12,MATCH(E77,Lookups!$A$3:$A$12,0))</f>
        <v/>
      </c>
      <c r="N77" s="51">
        <f>L77-M77</f>
        <v/>
      </c>
      <c r="O77" s="2" t="n"/>
      <c r="P77" s="2" t="n"/>
    </row>
    <row r="78">
      <c r="A78" s="5" t="inlineStr">
        <is>
          <t>ORD-0373</t>
        </is>
      </c>
      <c r="B78" s="50" t="n">
        <v>46149</v>
      </c>
      <c r="C78" s="5" t="inlineStr">
        <is>
          <t>S06</t>
        </is>
      </c>
      <c r="D78" s="5" t="inlineStr">
        <is>
          <t>Gurugram</t>
        </is>
      </c>
      <c r="E78" s="5" t="inlineStr">
        <is>
          <t>P402</t>
        </is>
      </c>
      <c r="F78" s="5" t="inlineStr">
        <is>
          <t>Accessories</t>
        </is>
      </c>
      <c r="G78" s="5" t="n">
        <v>1</v>
      </c>
      <c r="H78" s="51" t="n">
        <v>1499</v>
      </c>
      <c r="I78" s="62" t="n">
        <v>0.05</v>
      </c>
      <c r="J78" s="5" t="inlineStr">
        <is>
          <t>Online</t>
        </is>
      </c>
      <c r="K78" s="5" t="inlineStr">
        <is>
          <t>Yes</t>
        </is>
      </c>
      <c r="L78" s="51">
        <f>G78*H78*(1-I78)</f>
        <v/>
      </c>
      <c r="M78" s="51">
        <f>G78*INDEX(Lookups!$E$3:$E$12,MATCH(E78,Lookups!$A$3:$A$12,0))</f>
        <v/>
      </c>
      <c r="N78" s="51">
        <f>L78-M78</f>
        <v/>
      </c>
      <c r="O78" s="2" t="n"/>
      <c r="P78" s="2" t="n"/>
    </row>
    <row r="79">
      <c r="A79" s="5" t="inlineStr">
        <is>
          <t>ORD-0077</t>
        </is>
      </c>
      <c r="B79" s="50" t="n">
        <v>46150</v>
      </c>
      <c r="C79" s="5" t="inlineStr">
        <is>
          <t>S03</t>
        </is>
      </c>
      <c r="D79" s="5" t="inlineStr">
        <is>
          <t>Delhi</t>
        </is>
      </c>
      <c r="E79" s="5" t="inlineStr">
        <is>
          <t>P301</t>
        </is>
      </c>
      <c r="F79" s="5" t="inlineStr">
        <is>
          <t>Audio</t>
        </is>
      </c>
      <c r="G79" s="5" t="n">
        <v>3</v>
      </c>
      <c r="H79" s="51" t="n">
        <v>2999</v>
      </c>
      <c r="I79" s="62" t="n">
        <v>0</v>
      </c>
      <c r="J79" s="5" t="inlineStr">
        <is>
          <t>Walk-in</t>
        </is>
      </c>
      <c r="K79" s="5" t="inlineStr">
        <is>
          <t>No</t>
        </is>
      </c>
      <c r="L79" s="51">
        <f>G79*H79*(1-I79)</f>
        <v/>
      </c>
      <c r="M79" s="51">
        <f>G79*INDEX(Lookups!$E$3:$E$12,MATCH(E79,Lookups!$A$3:$A$12,0))</f>
        <v/>
      </c>
      <c r="N79" s="51">
        <f>L79-M79</f>
        <v/>
      </c>
      <c r="O79" s="2" t="n"/>
      <c r="P79" s="2" t="n"/>
    </row>
    <row r="80">
      <c r="A80" s="5" t="inlineStr">
        <is>
          <t>ORD-0106</t>
        </is>
      </c>
      <c r="B80" s="50" t="n">
        <v>46150</v>
      </c>
      <c r="C80" s="5" t="inlineStr">
        <is>
          <t>S02</t>
        </is>
      </c>
      <c r="D80" s="5" t="inlineStr">
        <is>
          <t>Pune</t>
        </is>
      </c>
      <c r="E80" s="5" t="inlineStr">
        <is>
          <t>P101</t>
        </is>
      </c>
      <c r="F80" s="5" t="inlineStr">
        <is>
          <t>Mobiles</t>
        </is>
      </c>
      <c r="G80" s="5" t="n">
        <v>1</v>
      </c>
      <c r="H80" s="51" t="n">
        <v>18999</v>
      </c>
      <c r="I80" s="62" t="n">
        <v>0.05</v>
      </c>
      <c r="J80" s="5" t="inlineStr">
        <is>
          <t>Walk-in</t>
        </is>
      </c>
      <c r="K80" s="5" t="inlineStr">
        <is>
          <t>No</t>
        </is>
      </c>
      <c r="L80" s="51">
        <f>G80*H80*(1-I80)</f>
        <v/>
      </c>
      <c r="M80" s="51">
        <f>G80*INDEX(Lookups!$E$3:$E$12,MATCH(E80,Lookups!$A$3:$A$12,0))</f>
        <v/>
      </c>
      <c r="N80" s="51">
        <f>L80-M80</f>
        <v/>
      </c>
      <c r="O80" s="2" t="n"/>
      <c r="P80" s="2" t="n"/>
    </row>
    <row r="81">
      <c r="A81" s="5" t="inlineStr">
        <is>
          <t>ORD-0107</t>
        </is>
      </c>
      <c r="B81" s="50" t="n">
        <v>46150</v>
      </c>
      <c r="C81" s="5" t="inlineStr">
        <is>
          <t>S02</t>
        </is>
      </c>
      <c r="D81" s="5" t="inlineStr">
        <is>
          <t>Pune</t>
        </is>
      </c>
      <c r="E81" s="5" t="inlineStr">
        <is>
          <t>P101</t>
        </is>
      </c>
      <c r="F81" s="5" t="inlineStr">
        <is>
          <t>Mobiles</t>
        </is>
      </c>
      <c r="G81" s="5" t="n">
        <v>1</v>
      </c>
      <c r="H81" s="51" t="n">
        <v>18999</v>
      </c>
      <c r="I81" s="62" t="n">
        <v>0.05</v>
      </c>
      <c r="J81" s="5" t="inlineStr">
        <is>
          <t>Online</t>
        </is>
      </c>
      <c r="K81" s="5" t="inlineStr">
        <is>
          <t>No</t>
        </is>
      </c>
      <c r="L81" s="51">
        <f>G81*H81*(1-I81)</f>
        <v/>
      </c>
      <c r="M81" s="51">
        <f>G81*INDEX(Lookups!$E$3:$E$12,MATCH(E81,Lookups!$A$3:$A$12,0))</f>
        <v/>
      </c>
      <c r="N81" s="51">
        <f>L81-M81</f>
        <v/>
      </c>
      <c r="O81" s="2" t="n"/>
      <c r="P81" s="2" t="n"/>
    </row>
    <row r="82">
      <c r="A82" s="5" t="inlineStr">
        <is>
          <t>ORD-0190</t>
        </is>
      </c>
      <c r="B82" s="50" t="n">
        <v>46150</v>
      </c>
      <c r="C82" s="5" t="inlineStr">
        <is>
          <t>S04</t>
        </is>
      </c>
      <c r="D82" s="5" t="inlineStr">
        <is>
          <t>Bengaluru</t>
        </is>
      </c>
      <c r="E82" s="5" t="inlineStr">
        <is>
          <t>P402</t>
        </is>
      </c>
      <c r="F82" s="5" t="inlineStr">
        <is>
          <t>Accessories</t>
        </is>
      </c>
      <c r="G82" s="5" t="n">
        <v>1</v>
      </c>
      <c r="H82" s="51" t="n">
        <v>1499</v>
      </c>
      <c r="I82" s="62" t="n">
        <v>0.05</v>
      </c>
      <c r="J82" s="5" t="inlineStr">
        <is>
          <t>Walk-in</t>
        </is>
      </c>
      <c r="K82" s="5" t="inlineStr">
        <is>
          <t>Yes</t>
        </is>
      </c>
      <c r="L82" s="51">
        <f>G82*H82*(1-I82)</f>
        <v/>
      </c>
      <c r="M82" s="51">
        <f>G82*INDEX(Lookups!$E$3:$E$12,MATCH(E82,Lookups!$A$3:$A$12,0))</f>
        <v/>
      </c>
      <c r="N82" s="51">
        <f>L82-M82</f>
        <v/>
      </c>
      <c r="O82" s="2" t="n"/>
      <c r="P82" s="2" t="n"/>
    </row>
    <row r="83">
      <c r="A83" s="5" t="inlineStr">
        <is>
          <t>ORD-0209</t>
        </is>
      </c>
      <c r="B83" s="50" t="n">
        <v>46150</v>
      </c>
      <c r="C83" s="5" t="inlineStr">
        <is>
          <t>S06</t>
        </is>
      </c>
      <c r="D83" s="5" t="inlineStr">
        <is>
          <t>Gurugram</t>
        </is>
      </c>
      <c r="E83" s="5" t="inlineStr">
        <is>
          <t>P302</t>
        </is>
      </c>
      <c r="F83" s="5" t="inlineStr">
        <is>
          <t>Audio</t>
        </is>
      </c>
      <c r="G83" s="5" t="n">
        <v>1</v>
      </c>
      <c r="H83" s="51" t="n">
        <v>4499</v>
      </c>
      <c r="I83" s="62" t="n">
        <v>0</v>
      </c>
      <c r="J83" s="5" t="inlineStr">
        <is>
          <t>Walk-in</t>
        </is>
      </c>
      <c r="K83" s="5" t="inlineStr">
        <is>
          <t>No</t>
        </is>
      </c>
      <c r="L83" s="51">
        <f>G83*H83*(1-I83)</f>
        <v/>
      </c>
      <c r="M83" s="51">
        <f>G83*INDEX(Lookups!$E$3:$E$12,MATCH(E83,Lookups!$A$3:$A$12,0))</f>
        <v/>
      </c>
      <c r="N83" s="51">
        <f>L83-M83</f>
        <v/>
      </c>
      <c r="O83" s="2" t="n"/>
      <c r="P83" s="2" t="n"/>
    </row>
    <row r="84">
      <c r="A84" s="5" t="inlineStr">
        <is>
          <t>ORD-0245</t>
        </is>
      </c>
      <c r="B84" s="50" t="n">
        <v>46150</v>
      </c>
      <c r="C84" s="5" t="inlineStr">
        <is>
          <t>S01</t>
        </is>
      </c>
      <c r="D84" s="5" t="inlineStr">
        <is>
          <t>Mumbai</t>
        </is>
      </c>
      <c r="E84" s="5" t="inlineStr">
        <is>
          <t>P301</t>
        </is>
      </c>
      <c r="F84" s="5" t="inlineStr">
        <is>
          <t>Audio</t>
        </is>
      </c>
      <c r="G84" s="5" t="n">
        <v>1</v>
      </c>
      <c r="H84" s="51" t="n">
        <v>2999</v>
      </c>
      <c r="I84" s="62" t="n">
        <v>0</v>
      </c>
      <c r="J84" s="5" t="inlineStr">
        <is>
          <t>Corporate</t>
        </is>
      </c>
      <c r="K84" s="5" t="inlineStr">
        <is>
          <t>Yes</t>
        </is>
      </c>
      <c r="L84" s="51">
        <f>G84*H84*(1-I84)</f>
        <v/>
      </c>
      <c r="M84" s="51">
        <f>G84*INDEX(Lookups!$E$3:$E$12,MATCH(E84,Lookups!$A$3:$A$12,0))</f>
        <v/>
      </c>
      <c r="N84" s="51">
        <f>L84-M84</f>
        <v/>
      </c>
      <c r="O84" s="2" t="n"/>
      <c r="P84" s="2" t="n"/>
    </row>
    <row r="85">
      <c r="A85" s="5" t="inlineStr">
        <is>
          <t>ORD-0255</t>
        </is>
      </c>
      <c r="B85" s="50" t="n">
        <v>46150</v>
      </c>
      <c r="C85" s="5" t="inlineStr">
        <is>
          <t>S01</t>
        </is>
      </c>
      <c r="D85" s="5" t="inlineStr">
        <is>
          <t>Mumbai</t>
        </is>
      </c>
      <c r="E85" s="5" t="inlineStr">
        <is>
          <t>P401</t>
        </is>
      </c>
      <c r="F85" s="5" t="inlineStr">
        <is>
          <t>Accessories</t>
        </is>
      </c>
      <c r="G85" s="5" t="n">
        <v>1</v>
      </c>
      <c r="H85" s="51" t="n">
        <v>1799</v>
      </c>
      <c r="I85" s="62" t="n">
        <v>0</v>
      </c>
      <c r="J85" s="5" t="inlineStr">
        <is>
          <t>Corporate</t>
        </is>
      </c>
      <c r="K85" s="5" t="inlineStr">
        <is>
          <t>No</t>
        </is>
      </c>
      <c r="L85" s="51">
        <f>G85*H85*(1-I85)</f>
        <v/>
      </c>
      <c r="M85" s="51">
        <f>G85*INDEX(Lookups!$E$3:$E$12,MATCH(E85,Lookups!$A$3:$A$12,0))</f>
        <v/>
      </c>
      <c r="N85" s="51">
        <f>L85-M85</f>
        <v/>
      </c>
      <c r="O85" s="2" t="n"/>
      <c r="P85" s="2" t="n"/>
    </row>
    <row r="86">
      <c r="A86" s="5" t="inlineStr">
        <is>
          <t>ORD-0351</t>
        </is>
      </c>
      <c r="B86" s="50" t="n">
        <v>46150</v>
      </c>
      <c r="C86" s="5" t="inlineStr">
        <is>
          <t>S06</t>
        </is>
      </c>
      <c r="D86" s="5" t="inlineStr">
        <is>
          <t>Gurugram</t>
        </is>
      </c>
      <c r="E86" s="5" t="inlineStr">
        <is>
          <t>P201</t>
        </is>
      </c>
      <c r="F86" s="5" t="inlineStr">
        <is>
          <t>Laptops</t>
        </is>
      </c>
      <c r="G86" s="5" t="n">
        <v>1</v>
      </c>
      <c r="H86" s="51" t="n">
        <v>54999</v>
      </c>
      <c r="I86" s="62" t="n">
        <v>0.05</v>
      </c>
      <c r="J86" s="5" t="inlineStr">
        <is>
          <t>Walk-in</t>
        </is>
      </c>
      <c r="K86" s="5" t="inlineStr">
        <is>
          <t>No</t>
        </is>
      </c>
      <c r="L86" s="51">
        <f>G86*H86*(1-I86)</f>
        <v/>
      </c>
      <c r="M86" s="51">
        <f>G86*INDEX(Lookups!$E$3:$E$12,MATCH(E86,Lookups!$A$3:$A$12,0))</f>
        <v/>
      </c>
      <c r="N86" s="51">
        <f>L86-M86</f>
        <v/>
      </c>
      <c r="O86" s="2" t="n"/>
      <c r="P86" s="2" t="n"/>
    </row>
    <row r="87">
      <c r="A87" s="5" t="inlineStr">
        <is>
          <t>ORD-0186</t>
        </is>
      </c>
      <c r="B87" s="50" t="n">
        <v>46151</v>
      </c>
      <c r="C87" s="5" t="inlineStr">
        <is>
          <t>S01</t>
        </is>
      </c>
      <c r="D87" s="5" t="inlineStr">
        <is>
          <t>Mumbai</t>
        </is>
      </c>
      <c r="E87" s="5" t="inlineStr">
        <is>
          <t>P301</t>
        </is>
      </c>
      <c r="F87" s="5" t="inlineStr">
        <is>
          <t>Audio</t>
        </is>
      </c>
      <c r="G87" s="5" t="n">
        <v>4</v>
      </c>
      <c r="H87" s="51" t="n">
        <v>2999</v>
      </c>
      <c r="I87" s="62" t="n">
        <v>0</v>
      </c>
      <c r="J87" s="5" t="inlineStr">
        <is>
          <t>Corporate</t>
        </is>
      </c>
      <c r="K87" s="5" t="inlineStr">
        <is>
          <t>No</t>
        </is>
      </c>
      <c r="L87" s="51">
        <f>G87*H87*(1-I87)</f>
        <v/>
      </c>
      <c r="M87" s="51">
        <f>G87*INDEX(Lookups!$E$3:$E$12,MATCH(E87,Lookups!$A$3:$A$12,0))</f>
        <v/>
      </c>
      <c r="N87" s="51">
        <f>L87-M87</f>
        <v/>
      </c>
      <c r="O87" s="2" t="n"/>
      <c r="P87" s="2" t="n"/>
    </row>
    <row r="88">
      <c r="A88" s="5" t="inlineStr">
        <is>
          <t>ORD-0123</t>
        </is>
      </c>
      <c r="B88" s="50" t="n">
        <v>46152</v>
      </c>
      <c r="C88" s="5" t="inlineStr">
        <is>
          <t>S04</t>
        </is>
      </c>
      <c r="D88" s="5" t="inlineStr">
        <is>
          <t>Bengaluru</t>
        </is>
      </c>
      <c r="E88" s="5" t="inlineStr">
        <is>
          <t>P402</t>
        </is>
      </c>
      <c r="F88" s="5" t="inlineStr">
        <is>
          <t>Accessories</t>
        </is>
      </c>
      <c r="G88" s="5" t="n">
        <v>2</v>
      </c>
      <c r="H88" s="51" t="n">
        <v>1499</v>
      </c>
      <c r="I88" s="62" t="n">
        <v>0.1</v>
      </c>
      <c r="J88" s="5" t="inlineStr">
        <is>
          <t>Walk-in</t>
        </is>
      </c>
      <c r="K88" s="5" t="inlineStr">
        <is>
          <t>No</t>
        </is>
      </c>
      <c r="L88" s="51">
        <f>G88*H88*(1-I88)</f>
        <v/>
      </c>
      <c r="M88" s="51">
        <f>G88*INDEX(Lookups!$E$3:$E$12,MATCH(E88,Lookups!$A$3:$A$12,0))</f>
        <v/>
      </c>
      <c r="N88" s="51">
        <f>L88-M88</f>
        <v/>
      </c>
      <c r="O88" s="2" t="n"/>
      <c r="P88" s="2" t="n"/>
    </row>
    <row r="89">
      <c r="A89" s="5" t="inlineStr">
        <is>
          <t>ORD-0050</t>
        </is>
      </c>
      <c r="B89" s="50" t="n">
        <v>46153</v>
      </c>
      <c r="C89" s="5" t="inlineStr">
        <is>
          <t>S05</t>
        </is>
      </c>
      <c r="D89" s="5" t="inlineStr">
        <is>
          <t>Chennai</t>
        </is>
      </c>
      <c r="E89" s="5" t="inlineStr">
        <is>
          <t>P302</t>
        </is>
      </c>
      <c r="F89" s="5" t="inlineStr">
        <is>
          <t>Audio</t>
        </is>
      </c>
      <c r="G89" s="5" t="n">
        <v>1</v>
      </c>
      <c r="H89" s="51" t="n">
        <v>4499</v>
      </c>
      <c r="I89" s="62" t="n">
        <v>0.05</v>
      </c>
      <c r="J89" s="5" t="inlineStr">
        <is>
          <t>Online</t>
        </is>
      </c>
      <c r="K89" s="5" t="inlineStr">
        <is>
          <t>No</t>
        </is>
      </c>
      <c r="L89" s="51">
        <f>G89*H89*(1-I89)</f>
        <v/>
      </c>
      <c r="M89" s="51">
        <f>G89*INDEX(Lookups!$E$3:$E$12,MATCH(E89,Lookups!$A$3:$A$12,0))</f>
        <v/>
      </c>
      <c r="N89" s="51">
        <f>L89-M89</f>
        <v/>
      </c>
      <c r="O89" s="2" t="n"/>
      <c r="P89" s="2" t="n"/>
    </row>
    <row r="90">
      <c r="A90" s="5" t="inlineStr">
        <is>
          <t>ORD-0345</t>
        </is>
      </c>
      <c r="B90" s="50" t="n">
        <v>46153</v>
      </c>
      <c r="C90" s="5" t="inlineStr">
        <is>
          <t>S01</t>
        </is>
      </c>
      <c r="D90" s="5" t="inlineStr">
        <is>
          <t>Mumbai</t>
        </is>
      </c>
      <c r="E90" s="5" t="inlineStr">
        <is>
          <t>P401</t>
        </is>
      </c>
      <c r="F90" s="5" t="inlineStr">
        <is>
          <t>Accessories</t>
        </is>
      </c>
      <c r="G90" s="5" t="n">
        <v>1</v>
      </c>
      <c r="H90" s="51" t="n">
        <v>1799</v>
      </c>
      <c r="I90" s="62" t="n">
        <v>0</v>
      </c>
      <c r="J90" s="5" t="inlineStr">
        <is>
          <t>Corporate</t>
        </is>
      </c>
      <c r="K90" s="5" t="inlineStr">
        <is>
          <t>No</t>
        </is>
      </c>
      <c r="L90" s="51">
        <f>G90*H90*(1-I90)</f>
        <v/>
      </c>
      <c r="M90" s="51">
        <f>G90*INDEX(Lookups!$E$3:$E$12,MATCH(E90,Lookups!$A$3:$A$12,0))</f>
        <v/>
      </c>
      <c r="N90" s="51">
        <f>L90-M90</f>
        <v/>
      </c>
      <c r="O90" s="2" t="n"/>
      <c r="P90" s="2" t="n"/>
    </row>
    <row r="91">
      <c r="A91" s="5" t="inlineStr">
        <is>
          <t>ORD-0054</t>
        </is>
      </c>
      <c r="B91" s="50" t="n">
        <v>46154</v>
      </c>
      <c r="C91" s="5" t="inlineStr">
        <is>
          <t>S02</t>
        </is>
      </c>
      <c r="D91" s="5" t="inlineStr">
        <is>
          <t>Pune</t>
        </is>
      </c>
      <c r="E91" s="5" t="inlineStr">
        <is>
          <t>P402</t>
        </is>
      </c>
      <c r="F91" s="5" t="inlineStr">
        <is>
          <t>Accessories</t>
        </is>
      </c>
      <c r="G91" s="5" t="n">
        <v>2</v>
      </c>
      <c r="H91" s="51" t="n">
        <v>1499</v>
      </c>
      <c r="I91" s="62" t="n">
        <v>0</v>
      </c>
      <c r="J91" s="5" t="inlineStr">
        <is>
          <t>Corporate</t>
        </is>
      </c>
      <c r="K91" s="5" t="inlineStr">
        <is>
          <t>No</t>
        </is>
      </c>
      <c r="L91" s="51">
        <f>G91*H91*(1-I91)</f>
        <v/>
      </c>
      <c r="M91" s="51">
        <f>G91*INDEX(Lookups!$E$3:$E$12,MATCH(E91,Lookups!$A$3:$A$12,0))</f>
        <v/>
      </c>
      <c r="N91" s="51">
        <f>L91-M91</f>
        <v/>
      </c>
      <c r="O91" s="2" t="n"/>
      <c r="P91" s="2" t="n"/>
    </row>
    <row r="92">
      <c r="A92" s="5" t="inlineStr">
        <is>
          <t>ORD-0120</t>
        </is>
      </c>
      <c r="B92" s="50" t="n">
        <v>46154</v>
      </c>
      <c r="C92" s="5" t="inlineStr">
        <is>
          <t>S03</t>
        </is>
      </c>
      <c r="D92" s="5" t="inlineStr">
        <is>
          <t>Delhi</t>
        </is>
      </c>
      <c r="E92" s="5" t="inlineStr">
        <is>
          <t>P401</t>
        </is>
      </c>
      <c r="F92" s="5" t="inlineStr">
        <is>
          <t>Accessories</t>
        </is>
      </c>
      <c r="G92" s="5" t="n">
        <v>1</v>
      </c>
      <c r="H92" s="51" t="n">
        <v>1799</v>
      </c>
      <c r="I92" s="62" t="n">
        <v>0.05</v>
      </c>
      <c r="J92" s="5" t="inlineStr">
        <is>
          <t>Walk-in</t>
        </is>
      </c>
      <c r="K92" s="5" t="inlineStr">
        <is>
          <t>No</t>
        </is>
      </c>
      <c r="L92" s="51">
        <f>G92*H92*(1-I92)</f>
        <v/>
      </c>
      <c r="M92" s="51">
        <f>G92*INDEX(Lookups!$E$3:$E$12,MATCH(E92,Lookups!$A$3:$A$12,0))</f>
        <v/>
      </c>
      <c r="N92" s="51">
        <f>L92-M92</f>
        <v/>
      </c>
      <c r="O92" s="2" t="n"/>
      <c r="P92" s="2" t="n"/>
    </row>
    <row r="93">
      <c r="A93" s="5" t="inlineStr">
        <is>
          <t>ORD-0071</t>
        </is>
      </c>
      <c r="B93" s="50" t="n">
        <v>46156</v>
      </c>
      <c r="C93" s="5" t="inlineStr">
        <is>
          <t>S06</t>
        </is>
      </c>
      <c r="D93" s="5" t="inlineStr">
        <is>
          <t>Gurugram</t>
        </is>
      </c>
      <c r="E93" s="5" t="inlineStr">
        <is>
          <t>P101</t>
        </is>
      </c>
      <c r="F93" s="5" t="inlineStr">
        <is>
          <t>Mobiles</t>
        </is>
      </c>
      <c r="G93" s="5" t="n">
        <v>1</v>
      </c>
      <c r="H93" s="51" t="n">
        <v>18999</v>
      </c>
      <c r="I93" s="62" t="n">
        <v>0</v>
      </c>
      <c r="J93" s="5" t="inlineStr">
        <is>
          <t>Walk-in</t>
        </is>
      </c>
      <c r="K93" s="5" t="inlineStr">
        <is>
          <t>No</t>
        </is>
      </c>
      <c r="L93" s="51">
        <f>G93*H93*(1-I93)</f>
        <v/>
      </c>
      <c r="M93" s="51">
        <f>G93*INDEX(Lookups!$E$3:$E$12,MATCH(E93,Lookups!$A$3:$A$12,0))</f>
        <v/>
      </c>
      <c r="N93" s="51">
        <f>L93-M93</f>
        <v/>
      </c>
      <c r="O93" s="2" t="n"/>
      <c r="P93" s="2" t="n"/>
    </row>
    <row r="94">
      <c r="A94" s="5" t="inlineStr">
        <is>
          <t>ORD-0289</t>
        </is>
      </c>
      <c r="B94" s="50" t="n">
        <v>46156</v>
      </c>
      <c r="C94" s="5" t="inlineStr">
        <is>
          <t>S01</t>
        </is>
      </c>
      <c r="D94" s="5" t="inlineStr">
        <is>
          <t>Mumbai</t>
        </is>
      </c>
      <c r="E94" s="5" t="inlineStr">
        <is>
          <t>P402</t>
        </is>
      </c>
      <c r="F94" s="5" t="inlineStr">
        <is>
          <t>Accessories</t>
        </is>
      </c>
      <c r="G94" s="5" t="n">
        <v>1</v>
      </c>
      <c r="H94" s="51" t="n">
        <v>1499</v>
      </c>
      <c r="I94" s="62" t="n">
        <v>0</v>
      </c>
      <c r="J94" s="5" t="inlineStr">
        <is>
          <t>Walk-in</t>
        </is>
      </c>
      <c r="K94" s="5" t="inlineStr">
        <is>
          <t>No</t>
        </is>
      </c>
      <c r="L94" s="51">
        <f>G94*H94*(1-I94)</f>
        <v/>
      </c>
      <c r="M94" s="51">
        <f>G94*INDEX(Lookups!$E$3:$E$12,MATCH(E94,Lookups!$A$3:$A$12,0))</f>
        <v/>
      </c>
      <c r="N94" s="51">
        <f>L94-M94</f>
        <v/>
      </c>
      <c r="O94" s="2" t="n"/>
      <c r="P94" s="2" t="n"/>
    </row>
    <row r="95">
      <c r="A95" s="5" t="inlineStr">
        <is>
          <t>ORD-0148</t>
        </is>
      </c>
      <c r="B95" s="50" t="n">
        <v>46157</v>
      </c>
      <c r="C95" s="5" t="inlineStr">
        <is>
          <t>S06</t>
        </is>
      </c>
      <c r="D95" s="5" t="inlineStr">
        <is>
          <t>Gurugram</t>
        </is>
      </c>
      <c r="E95" s="5" t="inlineStr">
        <is>
          <t>P102</t>
        </is>
      </c>
      <c r="F95" s="5" t="inlineStr">
        <is>
          <t>Mobiles</t>
        </is>
      </c>
      <c r="G95" s="5" t="n">
        <v>1</v>
      </c>
      <c r="H95" s="51" t="n">
        <v>32999</v>
      </c>
      <c r="I95" s="62" t="n">
        <v>0.05</v>
      </c>
      <c r="J95" s="5" t="inlineStr">
        <is>
          <t>Walk-in</t>
        </is>
      </c>
      <c r="K95" s="5" t="inlineStr">
        <is>
          <t>Yes</t>
        </is>
      </c>
      <c r="L95" s="51">
        <f>G95*H95*(1-I95)</f>
        <v/>
      </c>
      <c r="M95" s="51">
        <f>G95*INDEX(Lookups!$E$3:$E$12,MATCH(E95,Lookups!$A$3:$A$12,0))</f>
        <v/>
      </c>
      <c r="N95" s="51">
        <f>L95-M95</f>
        <v/>
      </c>
      <c r="O95" s="2" t="n"/>
      <c r="P95" s="2" t="n"/>
    </row>
    <row r="96">
      <c r="A96" s="5" t="inlineStr">
        <is>
          <t>ORD-0238</t>
        </is>
      </c>
      <c r="B96" s="50" t="n">
        <v>46157</v>
      </c>
      <c r="C96" s="5" t="inlineStr">
        <is>
          <t>S03</t>
        </is>
      </c>
      <c r="D96" s="5" t="inlineStr">
        <is>
          <t>Delhi</t>
        </is>
      </c>
      <c r="E96" s="5" t="inlineStr">
        <is>
          <t>P102</t>
        </is>
      </c>
      <c r="F96" s="5" t="inlineStr">
        <is>
          <t>Mobiles</t>
        </is>
      </c>
      <c r="G96" s="5" t="n">
        <v>1</v>
      </c>
      <c r="H96" s="51" t="n">
        <v>32999</v>
      </c>
      <c r="I96" s="62" t="n">
        <v>0</v>
      </c>
      <c r="J96" s="5" t="inlineStr">
        <is>
          <t>Online</t>
        </is>
      </c>
      <c r="K96" s="5" t="inlineStr">
        <is>
          <t>No</t>
        </is>
      </c>
      <c r="L96" s="51">
        <f>G96*H96*(1-I96)</f>
        <v/>
      </c>
      <c r="M96" s="51">
        <f>G96*INDEX(Lookups!$E$3:$E$12,MATCH(E96,Lookups!$A$3:$A$12,0))</f>
        <v/>
      </c>
      <c r="N96" s="51">
        <f>L96-M96</f>
        <v/>
      </c>
      <c r="O96" s="2" t="n"/>
      <c r="P96" s="2" t="n"/>
    </row>
    <row r="97">
      <c r="A97" s="5" t="inlineStr">
        <is>
          <t>ORD-0261</t>
        </is>
      </c>
      <c r="B97" s="50" t="n">
        <v>46157</v>
      </c>
      <c r="C97" s="5" t="inlineStr">
        <is>
          <t>S06</t>
        </is>
      </c>
      <c r="D97" s="5" t="inlineStr">
        <is>
          <t>Gurugram</t>
        </is>
      </c>
      <c r="E97" s="5" t="inlineStr">
        <is>
          <t>P101</t>
        </is>
      </c>
      <c r="F97" s="5" t="inlineStr">
        <is>
          <t>Mobiles</t>
        </is>
      </c>
      <c r="G97" s="5" t="n">
        <v>1</v>
      </c>
      <c r="H97" s="51" t="n">
        <v>18999</v>
      </c>
      <c r="I97" s="62" t="n">
        <v>0</v>
      </c>
      <c r="J97" s="5" t="inlineStr">
        <is>
          <t>Walk-in</t>
        </is>
      </c>
      <c r="K97" s="5" t="inlineStr">
        <is>
          <t>No</t>
        </is>
      </c>
      <c r="L97" s="51">
        <f>G97*H97*(1-I97)</f>
        <v/>
      </c>
      <c r="M97" s="51">
        <f>G97*INDEX(Lookups!$E$3:$E$12,MATCH(E97,Lookups!$A$3:$A$12,0))</f>
        <v/>
      </c>
      <c r="N97" s="51">
        <f>L97-M97</f>
        <v/>
      </c>
      <c r="O97" s="2" t="n"/>
      <c r="P97" s="2" t="n"/>
    </row>
    <row r="98">
      <c r="A98" s="5" t="inlineStr">
        <is>
          <t>ORD-0294</t>
        </is>
      </c>
      <c r="B98" s="50" t="n">
        <v>46157</v>
      </c>
      <c r="C98" s="5" t="inlineStr">
        <is>
          <t>S04</t>
        </is>
      </c>
      <c r="D98" s="5" t="inlineStr">
        <is>
          <t>Bengaluru</t>
        </is>
      </c>
      <c r="E98" s="5" t="inlineStr">
        <is>
          <t>P102</t>
        </is>
      </c>
      <c r="F98" s="5" t="inlineStr">
        <is>
          <t>Mobiles</t>
        </is>
      </c>
      <c r="G98" s="5" t="n">
        <v>2</v>
      </c>
      <c r="H98" s="51" t="n">
        <v>32999</v>
      </c>
      <c r="I98" s="62" t="n">
        <v>0</v>
      </c>
      <c r="J98" s="5" t="inlineStr">
        <is>
          <t>Corporate</t>
        </is>
      </c>
      <c r="K98" s="5" t="inlineStr">
        <is>
          <t>Yes</t>
        </is>
      </c>
      <c r="L98" s="51">
        <f>G98*H98*(1-I98)</f>
        <v/>
      </c>
      <c r="M98" s="51">
        <f>G98*INDEX(Lookups!$E$3:$E$12,MATCH(E98,Lookups!$A$3:$A$12,0))</f>
        <v/>
      </c>
      <c r="N98" s="51">
        <f>L98-M98</f>
        <v/>
      </c>
      <c r="O98" s="2" t="n"/>
      <c r="P98" s="2" t="n"/>
    </row>
    <row r="99">
      <c r="A99" s="5" t="inlineStr">
        <is>
          <t>ORD-0311</t>
        </is>
      </c>
      <c r="B99" s="50" t="n">
        <v>46157</v>
      </c>
      <c r="C99" s="5" t="inlineStr">
        <is>
          <t>S06</t>
        </is>
      </c>
      <c r="D99" s="5" t="inlineStr">
        <is>
          <t>Gurugram</t>
        </is>
      </c>
      <c r="E99" s="5" t="inlineStr">
        <is>
          <t>P501</t>
        </is>
      </c>
      <c r="F99" s="5" t="inlineStr">
        <is>
          <t>TV</t>
        </is>
      </c>
      <c r="G99" s="5" t="n">
        <v>2</v>
      </c>
      <c r="H99" s="51" t="n">
        <v>32999</v>
      </c>
      <c r="I99" s="62" t="n">
        <v>0.05</v>
      </c>
      <c r="J99" s="5" t="inlineStr">
        <is>
          <t>Corporate</t>
        </is>
      </c>
      <c r="K99" s="5" t="inlineStr">
        <is>
          <t>Yes</t>
        </is>
      </c>
      <c r="L99" s="51">
        <f>G99*H99*(1-I99)</f>
        <v/>
      </c>
      <c r="M99" s="51">
        <f>G99*INDEX(Lookups!$E$3:$E$12,MATCH(E99,Lookups!$A$3:$A$12,0))</f>
        <v/>
      </c>
      <c r="N99" s="51">
        <f>L99-M99</f>
        <v/>
      </c>
      <c r="O99" s="2" t="n"/>
      <c r="P99" s="2" t="n"/>
    </row>
    <row r="100">
      <c r="A100" s="5" t="inlineStr">
        <is>
          <t>ORD-0359</t>
        </is>
      </c>
      <c r="B100" s="50" t="n">
        <v>46157</v>
      </c>
      <c r="C100" s="5" t="inlineStr">
        <is>
          <t>S05</t>
        </is>
      </c>
      <c r="D100" s="5" t="inlineStr">
        <is>
          <t>Chennai</t>
        </is>
      </c>
      <c r="E100" s="5" t="inlineStr">
        <is>
          <t>P402</t>
        </is>
      </c>
      <c r="F100" s="5" t="inlineStr">
        <is>
          <t>Accessories</t>
        </is>
      </c>
      <c r="G100" s="5" t="n">
        <v>3</v>
      </c>
      <c r="H100" s="51" t="n">
        <v>1499</v>
      </c>
      <c r="I100" s="62" t="n">
        <v>0</v>
      </c>
      <c r="J100" s="5" t="inlineStr">
        <is>
          <t>Corporate</t>
        </is>
      </c>
      <c r="K100" s="5" t="inlineStr">
        <is>
          <t>No</t>
        </is>
      </c>
      <c r="L100" s="51">
        <f>G100*H100*(1-I100)</f>
        <v/>
      </c>
      <c r="M100" s="51">
        <f>G100*INDEX(Lookups!$E$3:$E$12,MATCH(E100,Lookups!$A$3:$A$12,0))</f>
        <v/>
      </c>
      <c r="N100" s="51">
        <f>L100-M100</f>
        <v/>
      </c>
      <c r="O100" s="2" t="n"/>
      <c r="P100" s="2" t="n"/>
    </row>
    <row r="101">
      <c r="A101" s="5" t="inlineStr">
        <is>
          <t>ORD-0149</t>
        </is>
      </c>
      <c r="B101" s="50" t="n">
        <v>46158</v>
      </c>
      <c r="C101" s="5" t="inlineStr">
        <is>
          <t>S02</t>
        </is>
      </c>
      <c r="D101" s="5" t="inlineStr">
        <is>
          <t>Pune</t>
        </is>
      </c>
      <c r="E101" s="5" t="inlineStr">
        <is>
          <t>P101</t>
        </is>
      </c>
      <c r="F101" s="5" t="inlineStr">
        <is>
          <t>Mobiles</t>
        </is>
      </c>
      <c r="G101" s="5" t="n">
        <v>1</v>
      </c>
      <c r="H101" s="51" t="n">
        <v>18999</v>
      </c>
      <c r="I101" s="62" t="n">
        <v>0</v>
      </c>
      <c r="J101" s="5" t="inlineStr">
        <is>
          <t>Online</t>
        </is>
      </c>
      <c r="K101" s="5" t="inlineStr">
        <is>
          <t>No</t>
        </is>
      </c>
      <c r="L101" s="51">
        <f>G101*H101*(1-I101)</f>
        <v/>
      </c>
      <c r="M101" s="51">
        <f>G101*INDEX(Lookups!$E$3:$E$12,MATCH(E101,Lookups!$A$3:$A$12,0))</f>
        <v/>
      </c>
      <c r="N101" s="51">
        <f>L101-M101</f>
        <v/>
      </c>
      <c r="O101" s="2" t="n"/>
      <c r="P101" s="2" t="n"/>
    </row>
    <row r="102">
      <c r="A102" s="5" t="inlineStr">
        <is>
          <t>ORD-0176</t>
        </is>
      </c>
      <c r="B102" s="50" t="n">
        <v>46158</v>
      </c>
      <c r="C102" s="5" t="inlineStr">
        <is>
          <t>S01</t>
        </is>
      </c>
      <c r="D102" s="5" t="inlineStr">
        <is>
          <t>Mumbai</t>
        </is>
      </c>
      <c r="E102" s="5" t="inlineStr">
        <is>
          <t>P502</t>
        </is>
      </c>
      <c r="F102" s="5" t="inlineStr">
        <is>
          <t>TV</t>
        </is>
      </c>
      <c r="G102" s="5" t="n">
        <v>1</v>
      </c>
      <c r="H102" s="51" t="n">
        <v>52999</v>
      </c>
      <c r="I102" s="62" t="n">
        <v>0.05</v>
      </c>
      <c r="J102" s="5" t="inlineStr">
        <is>
          <t>Corporate</t>
        </is>
      </c>
      <c r="K102" s="5" t="inlineStr">
        <is>
          <t>No</t>
        </is>
      </c>
      <c r="L102" s="51">
        <f>G102*H102*(1-I102)</f>
        <v/>
      </c>
      <c r="M102" s="51">
        <f>G102*INDEX(Lookups!$E$3:$E$12,MATCH(E102,Lookups!$A$3:$A$12,0))</f>
        <v/>
      </c>
      <c r="N102" s="51">
        <f>L102-M102</f>
        <v/>
      </c>
      <c r="O102" s="2" t="n"/>
      <c r="P102" s="2" t="n"/>
    </row>
    <row r="103">
      <c r="A103" s="5" t="inlineStr">
        <is>
          <t>ORD-0181</t>
        </is>
      </c>
      <c r="B103" s="50" t="n">
        <v>46158</v>
      </c>
      <c r="C103" s="5" t="inlineStr">
        <is>
          <t>S02</t>
        </is>
      </c>
      <c r="D103" s="5" t="inlineStr">
        <is>
          <t>Pune</t>
        </is>
      </c>
      <c r="E103" s="5" t="inlineStr">
        <is>
          <t>P301</t>
        </is>
      </c>
      <c r="F103" s="5" t="inlineStr">
        <is>
          <t>Audio</t>
        </is>
      </c>
      <c r="G103" s="5" t="n">
        <v>2</v>
      </c>
      <c r="H103" s="51" t="n">
        <v>2999</v>
      </c>
      <c r="I103" s="62" t="n">
        <v>0</v>
      </c>
      <c r="J103" s="5" t="inlineStr">
        <is>
          <t>Walk-in</t>
        </is>
      </c>
      <c r="K103" s="5" t="inlineStr">
        <is>
          <t>No</t>
        </is>
      </c>
      <c r="L103" s="51">
        <f>G103*H103*(1-I103)</f>
        <v/>
      </c>
      <c r="M103" s="51">
        <f>G103*INDEX(Lookups!$E$3:$E$12,MATCH(E103,Lookups!$A$3:$A$12,0))</f>
        <v/>
      </c>
      <c r="N103" s="51">
        <f>L103-M103</f>
        <v/>
      </c>
      <c r="O103" s="2" t="n"/>
      <c r="P103" s="2" t="n"/>
    </row>
    <row r="104">
      <c r="A104" s="5" t="inlineStr">
        <is>
          <t>ORD-0320</t>
        </is>
      </c>
      <c r="B104" s="50" t="n">
        <v>46158</v>
      </c>
      <c r="C104" s="5" t="inlineStr">
        <is>
          <t>S03</t>
        </is>
      </c>
      <c r="D104" s="5" t="inlineStr">
        <is>
          <t>Delhi</t>
        </is>
      </c>
      <c r="E104" s="5" t="inlineStr">
        <is>
          <t>P301</t>
        </is>
      </c>
      <c r="F104" s="5" t="inlineStr">
        <is>
          <t>Audio</t>
        </is>
      </c>
      <c r="G104" s="5" t="n">
        <v>1</v>
      </c>
      <c r="H104" s="51" t="n">
        <v>2999</v>
      </c>
      <c r="I104" s="62" t="n">
        <v>0</v>
      </c>
      <c r="J104" s="5" t="inlineStr">
        <is>
          <t>Corporate</t>
        </is>
      </c>
      <c r="K104" s="5" t="inlineStr">
        <is>
          <t>No</t>
        </is>
      </c>
      <c r="L104" s="51">
        <f>G104*H104*(1-I104)</f>
        <v/>
      </c>
      <c r="M104" s="51">
        <f>G104*INDEX(Lookups!$E$3:$E$12,MATCH(E104,Lookups!$A$3:$A$12,0))</f>
        <v/>
      </c>
      <c r="N104" s="51">
        <f>L104-M104</f>
        <v/>
      </c>
      <c r="O104" s="2" t="n"/>
      <c r="P104" s="2" t="n"/>
    </row>
    <row r="105">
      <c r="A105" s="5" t="inlineStr">
        <is>
          <t>ORD-0357</t>
        </is>
      </c>
      <c r="B105" s="50" t="n">
        <v>46158</v>
      </c>
      <c r="C105" s="5" t="inlineStr">
        <is>
          <t>S01</t>
        </is>
      </c>
      <c r="D105" s="5" t="inlineStr">
        <is>
          <t>Mumbai</t>
        </is>
      </c>
      <c r="E105" s="5" t="inlineStr">
        <is>
          <t>P501</t>
        </is>
      </c>
      <c r="F105" s="5" t="inlineStr">
        <is>
          <t>TV</t>
        </is>
      </c>
      <c r="G105" s="5" t="n">
        <v>1</v>
      </c>
      <c r="H105" s="51" t="n">
        <v>32999</v>
      </c>
      <c r="I105" s="62" t="n">
        <v>0.1</v>
      </c>
      <c r="J105" s="5" t="inlineStr">
        <is>
          <t>Online</t>
        </is>
      </c>
      <c r="K105" s="5" t="inlineStr">
        <is>
          <t>No</t>
        </is>
      </c>
      <c r="L105" s="51">
        <f>G105*H105*(1-I105)</f>
        <v/>
      </c>
      <c r="M105" s="51">
        <f>G105*INDEX(Lookups!$E$3:$E$12,MATCH(E105,Lookups!$A$3:$A$12,0))</f>
        <v/>
      </c>
      <c r="N105" s="51">
        <f>L105-M105</f>
        <v/>
      </c>
      <c r="O105" s="2" t="n"/>
      <c r="P105" s="2" t="n"/>
    </row>
    <row r="106">
      <c r="A106" s="5" t="inlineStr">
        <is>
          <t>ORD-0015</t>
        </is>
      </c>
      <c r="B106" s="50" t="n">
        <v>46159</v>
      </c>
      <c r="C106" s="5" t="inlineStr">
        <is>
          <t>S05</t>
        </is>
      </c>
      <c r="D106" s="5" t="inlineStr">
        <is>
          <t>Chennai</t>
        </is>
      </c>
      <c r="E106" s="5" t="inlineStr">
        <is>
          <t>P101</t>
        </is>
      </c>
      <c r="F106" s="5" t="inlineStr">
        <is>
          <t>Mobiles</t>
        </is>
      </c>
      <c r="G106" s="5" t="n">
        <v>1</v>
      </c>
      <c r="H106" s="51" t="n">
        <v>18999</v>
      </c>
      <c r="I106" s="62" t="n">
        <v>0.05</v>
      </c>
      <c r="J106" s="5" t="inlineStr">
        <is>
          <t>Walk-in</t>
        </is>
      </c>
      <c r="K106" s="5" t="inlineStr">
        <is>
          <t>No</t>
        </is>
      </c>
      <c r="L106" s="51">
        <f>G106*H106*(1-I106)</f>
        <v/>
      </c>
      <c r="M106" s="51">
        <f>G106*INDEX(Lookups!$E$3:$E$12,MATCH(E106,Lookups!$A$3:$A$12,0))</f>
        <v/>
      </c>
      <c r="N106" s="51">
        <f>L106-M106</f>
        <v/>
      </c>
      <c r="O106" s="2" t="n"/>
      <c r="P106" s="2" t="n"/>
    </row>
    <row r="107">
      <c r="A107" s="5" t="inlineStr">
        <is>
          <t>ORD-0116</t>
        </is>
      </c>
      <c r="B107" s="50" t="n">
        <v>46160</v>
      </c>
      <c r="C107" s="5" t="inlineStr">
        <is>
          <t>S01</t>
        </is>
      </c>
      <c r="D107" s="5" t="inlineStr">
        <is>
          <t>Mumbai</t>
        </is>
      </c>
      <c r="E107" s="5" t="inlineStr">
        <is>
          <t>P501</t>
        </is>
      </c>
      <c r="F107" s="5" t="inlineStr">
        <is>
          <t>TV</t>
        </is>
      </c>
      <c r="G107" s="5" t="n">
        <v>1</v>
      </c>
      <c r="H107" s="51" t="n">
        <v>32999</v>
      </c>
      <c r="I107" s="62" t="n">
        <v>0.1</v>
      </c>
      <c r="J107" s="5" t="inlineStr">
        <is>
          <t>Walk-in</t>
        </is>
      </c>
      <c r="K107" s="5" t="inlineStr">
        <is>
          <t>No</t>
        </is>
      </c>
      <c r="L107" s="51">
        <f>G107*H107*(1-I107)</f>
        <v/>
      </c>
      <c r="M107" s="51">
        <f>G107*INDEX(Lookups!$E$3:$E$12,MATCH(E107,Lookups!$A$3:$A$12,0))</f>
        <v/>
      </c>
      <c r="N107" s="51">
        <f>L107-M107</f>
        <v/>
      </c>
      <c r="O107" s="2" t="n"/>
      <c r="P107" s="2" t="n"/>
    </row>
    <row r="108">
      <c r="A108" s="5" t="inlineStr">
        <is>
          <t>ORD-0287</t>
        </is>
      </c>
      <c r="B108" s="50" t="n">
        <v>46160</v>
      </c>
      <c r="C108" s="5" t="inlineStr">
        <is>
          <t>S02</t>
        </is>
      </c>
      <c r="D108" s="5" t="inlineStr">
        <is>
          <t>Pune</t>
        </is>
      </c>
      <c r="E108" s="5" t="inlineStr">
        <is>
          <t>P501</t>
        </is>
      </c>
      <c r="F108" s="5" t="inlineStr">
        <is>
          <t>TV</t>
        </is>
      </c>
      <c r="G108" s="5" t="n">
        <v>1</v>
      </c>
      <c r="H108" s="51" t="n">
        <v>32999</v>
      </c>
      <c r="I108" s="62" t="n">
        <v>0</v>
      </c>
      <c r="J108" s="5" t="inlineStr">
        <is>
          <t>Online</t>
        </is>
      </c>
      <c r="K108" s="5" t="inlineStr">
        <is>
          <t>No</t>
        </is>
      </c>
      <c r="L108" s="51">
        <f>G108*H108*(1-I108)</f>
        <v/>
      </c>
      <c r="M108" s="51">
        <f>G108*INDEX(Lookups!$E$3:$E$12,MATCH(E108,Lookups!$A$3:$A$12,0))</f>
        <v/>
      </c>
      <c r="N108" s="51">
        <f>L108-M108</f>
        <v/>
      </c>
      <c r="O108" s="2" t="n"/>
      <c r="P108" s="2" t="n"/>
    </row>
    <row r="109">
      <c r="A109" s="5" t="inlineStr">
        <is>
          <t>ORD-0111</t>
        </is>
      </c>
      <c r="B109" s="50" t="n">
        <v>46163</v>
      </c>
      <c r="C109" s="5" t="inlineStr">
        <is>
          <t>S03</t>
        </is>
      </c>
      <c r="D109" s="5" t="inlineStr">
        <is>
          <t>Delhi</t>
        </is>
      </c>
      <c r="E109" s="5" t="inlineStr">
        <is>
          <t>P402</t>
        </is>
      </c>
      <c r="F109" s="5" t="inlineStr">
        <is>
          <t>Accessories</t>
        </is>
      </c>
      <c r="G109" s="5" t="n">
        <v>3</v>
      </c>
      <c r="H109" s="51" t="n">
        <v>1499</v>
      </c>
      <c r="I109" s="62" t="n">
        <v>0.1</v>
      </c>
      <c r="J109" s="5" t="inlineStr">
        <is>
          <t>Corporate</t>
        </is>
      </c>
      <c r="K109" s="5" t="inlineStr">
        <is>
          <t>Yes</t>
        </is>
      </c>
      <c r="L109" s="51">
        <f>G109*H109*(1-I109)</f>
        <v/>
      </c>
      <c r="M109" s="51">
        <f>G109*INDEX(Lookups!$E$3:$E$12,MATCH(E109,Lookups!$A$3:$A$12,0))</f>
        <v/>
      </c>
      <c r="N109" s="51">
        <f>L109-M109</f>
        <v/>
      </c>
      <c r="O109" s="2" t="n"/>
      <c r="P109" s="2" t="n"/>
    </row>
    <row r="110">
      <c r="A110" s="5" t="inlineStr">
        <is>
          <t>ORD-0217</t>
        </is>
      </c>
      <c r="B110" s="50" t="n">
        <v>46163</v>
      </c>
      <c r="C110" s="5" t="inlineStr">
        <is>
          <t>S04</t>
        </is>
      </c>
      <c r="D110" s="5" t="inlineStr">
        <is>
          <t>Bengaluru</t>
        </is>
      </c>
      <c r="E110" s="5" t="inlineStr">
        <is>
          <t>P301</t>
        </is>
      </c>
      <c r="F110" s="5" t="inlineStr">
        <is>
          <t>Audio</t>
        </is>
      </c>
      <c r="G110" s="5" t="n">
        <v>2</v>
      </c>
      <c r="H110" s="51" t="n">
        <v>2999</v>
      </c>
      <c r="I110" s="62" t="n">
        <v>0</v>
      </c>
      <c r="J110" s="5" t="inlineStr">
        <is>
          <t>Walk-in</t>
        </is>
      </c>
      <c r="K110" s="5" t="inlineStr">
        <is>
          <t>No</t>
        </is>
      </c>
      <c r="L110" s="51">
        <f>G110*H110*(1-I110)</f>
        <v/>
      </c>
      <c r="M110" s="51">
        <f>G110*INDEX(Lookups!$E$3:$E$12,MATCH(E110,Lookups!$A$3:$A$12,0))</f>
        <v/>
      </c>
      <c r="N110" s="51">
        <f>L110-M110</f>
        <v/>
      </c>
      <c r="O110" s="2" t="n"/>
      <c r="P110" s="2" t="n"/>
    </row>
    <row r="111">
      <c r="A111" s="5" t="inlineStr">
        <is>
          <t>ORD-0237</t>
        </is>
      </c>
      <c r="B111" s="50" t="n">
        <v>46163</v>
      </c>
      <c r="C111" s="5" t="inlineStr">
        <is>
          <t>S02</t>
        </is>
      </c>
      <c r="D111" s="5" t="inlineStr">
        <is>
          <t>Pune</t>
        </is>
      </c>
      <c r="E111" s="5" t="inlineStr">
        <is>
          <t>P302</t>
        </is>
      </c>
      <c r="F111" s="5" t="inlineStr">
        <is>
          <t>Audio</t>
        </is>
      </c>
      <c r="G111" s="5" t="n">
        <v>2</v>
      </c>
      <c r="H111" s="51" t="n">
        <v>4499</v>
      </c>
      <c r="I111" s="62" t="n">
        <v>0</v>
      </c>
      <c r="J111" s="5" t="inlineStr">
        <is>
          <t>Corporate</t>
        </is>
      </c>
      <c r="K111" s="5" t="inlineStr">
        <is>
          <t>No</t>
        </is>
      </c>
      <c r="L111" s="51">
        <f>G111*H111*(1-I111)</f>
        <v/>
      </c>
      <c r="M111" s="51">
        <f>G111*INDEX(Lookups!$E$3:$E$12,MATCH(E111,Lookups!$A$3:$A$12,0))</f>
        <v/>
      </c>
      <c r="N111" s="51">
        <f>L111-M111</f>
        <v/>
      </c>
      <c r="O111" s="2" t="n"/>
      <c r="P111" s="2" t="n"/>
    </row>
    <row r="112">
      <c r="A112" s="5" t="inlineStr">
        <is>
          <t>ORD-0001</t>
        </is>
      </c>
      <c r="B112" s="50" t="n">
        <v>46164</v>
      </c>
      <c r="C112" s="5" t="inlineStr">
        <is>
          <t>S04</t>
        </is>
      </c>
      <c r="D112" s="5" t="inlineStr">
        <is>
          <t>Bengaluru</t>
        </is>
      </c>
      <c r="E112" s="5" t="inlineStr">
        <is>
          <t>P301</t>
        </is>
      </c>
      <c r="F112" s="5" t="inlineStr">
        <is>
          <t>Audio</t>
        </is>
      </c>
      <c r="G112" s="5" t="n">
        <v>1</v>
      </c>
      <c r="H112" s="51" t="n">
        <v>2999</v>
      </c>
      <c r="I112" s="62" t="n">
        <v>0</v>
      </c>
      <c r="J112" s="5" t="inlineStr">
        <is>
          <t>Online</t>
        </is>
      </c>
      <c r="K112" s="5" t="inlineStr">
        <is>
          <t>Yes</t>
        </is>
      </c>
      <c r="L112" s="51">
        <f>G112*H112*(1-I112)</f>
        <v/>
      </c>
      <c r="M112" s="51">
        <f>G112*INDEX(Lookups!$E$3:$E$12,MATCH(E112,Lookups!$A$3:$A$12,0))</f>
        <v/>
      </c>
      <c r="N112" s="51">
        <f>L112-M112</f>
        <v/>
      </c>
      <c r="O112" s="2" t="n"/>
      <c r="P112" s="2" t="n"/>
    </row>
    <row r="113">
      <c r="A113" s="5" t="inlineStr">
        <is>
          <t>ORD-0003</t>
        </is>
      </c>
      <c r="B113" s="50" t="n">
        <v>46164</v>
      </c>
      <c r="C113" s="5" t="inlineStr">
        <is>
          <t>S05</t>
        </is>
      </c>
      <c r="D113" s="5" t="inlineStr">
        <is>
          <t>Chennai</t>
        </is>
      </c>
      <c r="E113" s="5" t="inlineStr">
        <is>
          <t>P502</t>
        </is>
      </c>
      <c r="F113" s="5" t="inlineStr">
        <is>
          <t>TV</t>
        </is>
      </c>
      <c r="G113" s="5" t="n">
        <v>1</v>
      </c>
      <c r="H113" s="51" t="n">
        <v>52999</v>
      </c>
      <c r="I113" s="62" t="n">
        <v>0</v>
      </c>
      <c r="J113" s="5" t="inlineStr">
        <is>
          <t>Walk-in</t>
        </is>
      </c>
      <c r="K113" s="5" t="inlineStr">
        <is>
          <t>Yes</t>
        </is>
      </c>
      <c r="L113" s="51">
        <f>G113*H113*(1-I113)</f>
        <v/>
      </c>
      <c r="M113" s="51">
        <f>G113*INDEX(Lookups!$E$3:$E$12,MATCH(E113,Lookups!$A$3:$A$12,0))</f>
        <v/>
      </c>
      <c r="N113" s="51">
        <f>L113-M113</f>
        <v/>
      </c>
      <c r="O113" s="2" t="n"/>
      <c r="P113" s="2" t="n"/>
    </row>
    <row r="114">
      <c r="A114" s="5" t="inlineStr">
        <is>
          <t>ORD-0074</t>
        </is>
      </c>
      <c r="B114" s="50" t="n">
        <v>46164</v>
      </c>
      <c r="C114" s="5" t="inlineStr">
        <is>
          <t>S03</t>
        </is>
      </c>
      <c r="D114" s="5" t="inlineStr">
        <is>
          <t>Delhi</t>
        </is>
      </c>
      <c r="E114" s="5" t="inlineStr">
        <is>
          <t>P302</t>
        </is>
      </c>
      <c r="F114" s="5" t="inlineStr">
        <is>
          <t>Audio</t>
        </is>
      </c>
      <c r="G114" s="5" t="n">
        <v>1</v>
      </c>
      <c r="H114" s="51" t="n">
        <v>4499</v>
      </c>
      <c r="I114" s="62" t="n">
        <v>0.1</v>
      </c>
      <c r="J114" s="5" t="inlineStr">
        <is>
          <t>Walk-in</t>
        </is>
      </c>
      <c r="K114" s="5" t="inlineStr">
        <is>
          <t>No</t>
        </is>
      </c>
      <c r="L114" s="51">
        <f>G114*H114*(1-I114)</f>
        <v/>
      </c>
      <c r="M114" s="51">
        <f>G114*INDEX(Lookups!$E$3:$E$12,MATCH(E114,Lookups!$A$3:$A$12,0))</f>
        <v/>
      </c>
      <c r="N114" s="51">
        <f>L114-M114</f>
        <v/>
      </c>
      <c r="O114" s="2" t="n"/>
      <c r="P114" s="2" t="n"/>
    </row>
    <row r="115">
      <c r="A115" s="5" t="inlineStr">
        <is>
          <t>ORD-0052</t>
        </is>
      </c>
      <c r="B115" s="50" t="n">
        <v>46165</v>
      </c>
      <c r="C115" s="5" t="inlineStr">
        <is>
          <t>S01</t>
        </is>
      </c>
      <c r="D115" s="5" t="inlineStr">
        <is>
          <t>Mumbai</t>
        </is>
      </c>
      <c r="E115" s="5" t="inlineStr">
        <is>
          <t>P201</t>
        </is>
      </c>
      <c r="F115" s="5" t="inlineStr">
        <is>
          <t>Laptops</t>
        </is>
      </c>
      <c r="G115" s="5" t="n">
        <v>2</v>
      </c>
      <c r="H115" s="51" t="n">
        <v>54999</v>
      </c>
      <c r="I115" s="62" t="n">
        <v>0</v>
      </c>
      <c r="J115" s="5" t="inlineStr">
        <is>
          <t>Walk-in</t>
        </is>
      </c>
      <c r="K115" s="5" t="inlineStr">
        <is>
          <t>Yes</t>
        </is>
      </c>
      <c r="L115" s="51">
        <f>G115*H115*(1-I115)</f>
        <v/>
      </c>
      <c r="M115" s="51">
        <f>G115*INDEX(Lookups!$E$3:$E$12,MATCH(E115,Lookups!$A$3:$A$12,0))</f>
        <v/>
      </c>
      <c r="N115" s="51">
        <f>L115-M115</f>
        <v/>
      </c>
      <c r="O115" s="2" t="n"/>
      <c r="P115" s="2" t="n"/>
    </row>
    <row r="116">
      <c r="A116" s="5" t="inlineStr">
        <is>
          <t>ORD-0352</t>
        </is>
      </c>
      <c r="B116" s="50" t="n">
        <v>46165</v>
      </c>
      <c r="C116" s="5" t="inlineStr">
        <is>
          <t>S01</t>
        </is>
      </c>
      <c r="D116" s="5" t="inlineStr">
        <is>
          <t>Mumbai</t>
        </is>
      </c>
      <c r="E116" s="5" t="inlineStr">
        <is>
          <t>P101</t>
        </is>
      </c>
      <c r="F116" s="5" t="inlineStr">
        <is>
          <t>Mobiles</t>
        </is>
      </c>
      <c r="G116" s="5" t="n">
        <v>1</v>
      </c>
      <c r="H116" s="51" t="n">
        <v>18999</v>
      </c>
      <c r="I116" s="62" t="n">
        <v>0</v>
      </c>
      <c r="J116" s="5" t="inlineStr">
        <is>
          <t>Corporate</t>
        </is>
      </c>
      <c r="K116" s="5" t="inlineStr">
        <is>
          <t>No</t>
        </is>
      </c>
      <c r="L116" s="51">
        <f>G116*H116*(1-I116)</f>
        <v/>
      </c>
      <c r="M116" s="51">
        <f>G116*INDEX(Lookups!$E$3:$E$12,MATCH(E116,Lookups!$A$3:$A$12,0))</f>
        <v/>
      </c>
      <c r="N116" s="51">
        <f>L116-M116</f>
        <v/>
      </c>
      <c r="O116" s="2" t="n"/>
      <c r="P116" s="2" t="n"/>
    </row>
    <row r="117">
      <c r="A117" s="5" t="inlineStr">
        <is>
          <t>ORD-0023</t>
        </is>
      </c>
      <c r="B117" s="50" t="n">
        <v>46167</v>
      </c>
      <c r="C117" s="5" t="inlineStr">
        <is>
          <t>S01</t>
        </is>
      </c>
      <c r="D117" s="5" t="inlineStr">
        <is>
          <t>Mumbai</t>
        </is>
      </c>
      <c r="E117" s="5" t="inlineStr">
        <is>
          <t>P101</t>
        </is>
      </c>
      <c r="F117" s="5" t="inlineStr">
        <is>
          <t>Mobiles</t>
        </is>
      </c>
      <c r="G117" s="5" t="n">
        <v>1</v>
      </c>
      <c r="H117" s="51" t="n">
        <v>18999</v>
      </c>
      <c r="I117" s="62" t="n">
        <v>0</v>
      </c>
      <c r="J117" s="5" t="inlineStr">
        <is>
          <t>Walk-in</t>
        </is>
      </c>
      <c r="K117" s="5" t="inlineStr">
        <is>
          <t>No</t>
        </is>
      </c>
      <c r="L117" s="51">
        <f>G117*H117*(1-I117)</f>
        <v/>
      </c>
      <c r="M117" s="51">
        <f>G117*INDEX(Lookups!$E$3:$E$12,MATCH(E117,Lookups!$A$3:$A$12,0))</f>
        <v/>
      </c>
      <c r="N117" s="51">
        <f>L117-M117</f>
        <v/>
      </c>
      <c r="O117" s="2" t="n"/>
      <c r="P117" s="2" t="n"/>
    </row>
    <row r="118">
      <c r="A118" s="5" t="inlineStr">
        <is>
          <t>ORD-0195</t>
        </is>
      </c>
      <c r="B118" s="50" t="n">
        <v>46167</v>
      </c>
      <c r="C118" s="5" t="inlineStr">
        <is>
          <t>S05</t>
        </is>
      </c>
      <c r="D118" s="5" t="inlineStr">
        <is>
          <t>Chennai</t>
        </is>
      </c>
      <c r="E118" s="5" t="inlineStr">
        <is>
          <t>P101</t>
        </is>
      </c>
      <c r="F118" s="5" t="inlineStr">
        <is>
          <t>Mobiles</t>
        </is>
      </c>
      <c r="G118" s="5" t="n">
        <v>2</v>
      </c>
      <c r="H118" s="51" t="n">
        <v>18999</v>
      </c>
      <c r="I118" s="62" t="n">
        <v>0.1</v>
      </c>
      <c r="J118" s="5" t="inlineStr">
        <is>
          <t>Online</t>
        </is>
      </c>
      <c r="K118" s="5" t="inlineStr">
        <is>
          <t>No</t>
        </is>
      </c>
      <c r="L118" s="51">
        <f>G118*H118*(1-I118)</f>
        <v/>
      </c>
      <c r="M118" s="51">
        <f>G118*INDEX(Lookups!$E$3:$E$12,MATCH(E118,Lookups!$A$3:$A$12,0))</f>
        <v/>
      </c>
      <c r="N118" s="51">
        <f>L118-M118</f>
        <v/>
      </c>
      <c r="O118" s="2" t="n"/>
      <c r="P118" s="2" t="n"/>
    </row>
    <row r="119">
      <c r="A119" s="5" t="inlineStr">
        <is>
          <t>ORD-0309</t>
        </is>
      </c>
      <c r="B119" s="50" t="n">
        <v>46167</v>
      </c>
      <c r="C119" s="5" t="inlineStr">
        <is>
          <t>S06</t>
        </is>
      </c>
      <c r="D119" s="5" t="inlineStr">
        <is>
          <t>Gurugram</t>
        </is>
      </c>
      <c r="E119" s="5" t="inlineStr">
        <is>
          <t>P401</t>
        </is>
      </c>
      <c r="F119" s="5" t="inlineStr">
        <is>
          <t>Accessories</t>
        </is>
      </c>
      <c r="G119" s="5" t="n">
        <v>1</v>
      </c>
      <c r="H119" s="51" t="n">
        <v>1799</v>
      </c>
      <c r="I119" s="62" t="n">
        <v>0</v>
      </c>
      <c r="J119" s="5" t="inlineStr">
        <is>
          <t>Corporate</t>
        </is>
      </c>
      <c r="K119" s="5" t="inlineStr">
        <is>
          <t>Yes</t>
        </is>
      </c>
      <c r="L119" s="51">
        <f>G119*H119*(1-I119)</f>
        <v/>
      </c>
      <c r="M119" s="51">
        <f>G119*INDEX(Lookups!$E$3:$E$12,MATCH(E119,Lookups!$A$3:$A$12,0))</f>
        <v/>
      </c>
      <c r="N119" s="51">
        <f>L119-M119</f>
        <v/>
      </c>
      <c r="O119" s="2" t="n"/>
      <c r="P119" s="2" t="n"/>
    </row>
    <row r="120">
      <c r="A120" s="5" t="inlineStr">
        <is>
          <t>ORD-0004</t>
        </is>
      </c>
      <c r="B120" s="50" t="n">
        <v>46168</v>
      </c>
      <c r="C120" s="5" t="inlineStr">
        <is>
          <t>S04</t>
        </is>
      </c>
      <c r="D120" s="5" t="inlineStr">
        <is>
          <t>Bengaluru</t>
        </is>
      </c>
      <c r="E120" s="5" t="inlineStr">
        <is>
          <t>P402</t>
        </is>
      </c>
      <c r="F120" s="5" t="inlineStr">
        <is>
          <t>Accessories</t>
        </is>
      </c>
      <c r="G120" s="5" t="n">
        <v>3</v>
      </c>
      <c r="H120" s="51" t="n">
        <v>1499</v>
      </c>
      <c r="I120" s="62" t="n">
        <v>0</v>
      </c>
      <c r="J120" s="5" t="inlineStr">
        <is>
          <t>Walk-in</t>
        </is>
      </c>
      <c r="K120" s="5" t="inlineStr">
        <is>
          <t>No</t>
        </is>
      </c>
      <c r="L120" s="51">
        <f>G120*H120*(1-I120)</f>
        <v/>
      </c>
      <c r="M120" s="51">
        <f>G120*INDEX(Lookups!$E$3:$E$12,MATCH(E120,Lookups!$A$3:$A$12,0))</f>
        <v/>
      </c>
      <c r="N120" s="51">
        <f>L120-M120</f>
        <v/>
      </c>
      <c r="O120" s="2" t="n"/>
      <c r="P120" s="2" t="n"/>
    </row>
    <row r="121">
      <c r="A121" s="5" t="inlineStr">
        <is>
          <t>ORD-0189</t>
        </is>
      </c>
      <c r="B121" s="50" t="n">
        <v>46168</v>
      </c>
      <c r="C121" s="5" t="inlineStr">
        <is>
          <t>S04</t>
        </is>
      </c>
      <c r="D121" s="5" t="inlineStr">
        <is>
          <t>Bengaluru</t>
        </is>
      </c>
      <c r="E121" s="5" t="inlineStr">
        <is>
          <t>P501</t>
        </is>
      </c>
      <c r="F121" s="5" t="inlineStr">
        <is>
          <t>TV</t>
        </is>
      </c>
      <c r="G121" s="5" t="n">
        <v>3</v>
      </c>
      <c r="H121" s="51" t="n">
        <v>32999</v>
      </c>
      <c r="I121" s="62" t="n">
        <v>0</v>
      </c>
      <c r="J121" s="5" t="inlineStr">
        <is>
          <t>Walk-in</t>
        </is>
      </c>
      <c r="K121" s="5" t="inlineStr">
        <is>
          <t>No</t>
        </is>
      </c>
      <c r="L121" s="51">
        <f>G121*H121*(1-I121)</f>
        <v/>
      </c>
      <c r="M121" s="51">
        <f>G121*INDEX(Lookups!$E$3:$E$12,MATCH(E121,Lookups!$A$3:$A$12,0))</f>
        <v/>
      </c>
      <c r="N121" s="51">
        <f>L121-M121</f>
        <v/>
      </c>
      <c r="O121" s="2" t="n"/>
      <c r="P121" s="2" t="n"/>
    </row>
    <row r="122">
      <c r="A122" s="5" t="inlineStr">
        <is>
          <t>ORD-0368</t>
        </is>
      </c>
      <c r="B122" s="50" t="n">
        <v>46168</v>
      </c>
      <c r="C122" s="5" t="inlineStr">
        <is>
          <t>S03</t>
        </is>
      </c>
      <c r="D122" s="5" t="inlineStr">
        <is>
          <t>Delhi</t>
        </is>
      </c>
      <c r="E122" s="5" t="inlineStr">
        <is>
          <t>P402</t>
        </is>
      </c>
      <c r="F122" s="5" t="inlineStr">
        <is>
          <t>Accessories</t>
        </is>
      </c>
      <c r="G122" s="5" t="n">
        <v>1</v>
      </c>
      <c r="H122" s="51" t="n">
        <v>1499</v>
      </c>
      <c r="I122" s="62" t="n">
        <v>0.1</v>
      </c>
      <c r="J122" s="5" t="inlineStr">
        <is>
          <t>Walk-in</t>
        </is>
      </c>
      <c r="K122" s="5" t="inlineStr">
        <is>
          <t>No</t>
        </is>
      </c>
      <c r="L122" s="51">
        <f>G122*H122*(1-I122)</f>
        <v/>
      </c>
      <c r="M122" s="51">
        <f>G122*INDEX(Lookups!$E$3:$E$12,MATCH(E122,Lookups!$A$3:$A$12,0))</f>
        <v/>
      </c>
      <c r="N122" s="51">
        <f>L122-M122</f>
        <v/>
      </c>
      <c r="O122" s="2" t="n"/>
      <c r="P122" s="2" t="n"/>
    </row>
    <row r="123">
      <c r="A123" s="5" t="inlineStr">
        <is>
          <t>ORD-0036</t>
        </is>
      </c>
      <c r="B123" s="50" t="n">
        <v>46169</v>
      </c>
      <c r="C123" s="5" t="inlineStr">
        <is>
          <t>S02</t>
        </is>
      </c>
      <c r="D123" s="5" t="inlineStr">
        <is>
          <t>Pune</t>
        </is>
      </c>
      <c r="E123" s="5" t="inlineStr">
        <is>
          <t>P401</t>
        </is>
      </c>
      <c r="F123" s="5" t="inlineStr">
        <is>
          <t>Accessories</t>
        </is>
      </c>
      <c r="G123" s="5" t="n">
        <v>1</v>
      </c>
      <c r="H123" s="51" t="n">
        <v>1799</v>
      </c>
      <c r="I123" s="62" t="n">
        <v>0.1</v>
      </c>
      <c r="J123" s="5" t="inlineStr">
        <is>
          <t>Walk-in</t>
        </is>
      </c>
      <c r="K123" s="5" t="inlineStr">
        <is>
          <t>No</t>
        </is>
      </c>
      <c r="L123" s="51">
        <f>G123*H123*(1-I123)</f>
        <v/>
      </c>
      <c r="M123" s="51">
        <f>G123*INDEX(Lookups!$E$3:$E$12,MATCH(E123,Lookups!$A$3:$A$12,0))</f>
        <v/>
      </c>
      <c r="N123" s="51">
        <f>L123-M123</f>
        <v/>
      </c>
      <c r="O123" s="2" t="n"/>
      <c r="P123" s="2" t="n"/>
    </row>
    <row r="124">
      <c r="A124" s="5" t="inlineStr">
        <is>
          <t>ORD-0367</t>
        </is>
      </c>
      <c r="B124" s="50" t="n">
        <v>46169</v>
      </c>
      <c r="C124" s="5" t="inlineStr">
        <is>
          <t>S04</t>
        </is>
      </c>
      <c r="D124" s="5" t="inlineStr">
        <is>
          <t>Bengaluru</t>
        </is>
      </c>
      <c r="E124" s="5" t="inlineStr">
        <is>
          <t>P102</t>
        </is>
      </c>
      <c r="F124" s="5" t="inlineStr">
        <is>
          <t>Mobiles</t>
        </is>
      </c>
      <c r="G124" s="5" t="n">
        <v>1</v>
      </c>
      <c r="H124" s="51" t="n">
        <v>32999</v>
      </c>
      <c r="I124" s="62" t="n">
        <v>0.1</v>
      </c>
      <c r="J124" s="5" t="inlineStr">
        <is>
          <t>Online</t>
        </is>
      </c>
      <c r="K124" s="5" t="inlineStr">
        <is>
          <t>Yes</t>
        </is>
      </c>
      <c r="L124" s="51">
        <f>G124*H124*(1-I124)</f>
        <v/>
      </c>
      <c r="M124" s="51">
        <f>G124*INDEX(Lookups!$E$3:$E$12,MATCH(E124,Lookups!$A$3:$A$12,0))</f>
        <v/>
      </c>
      <c r="N124" s="51">
        <f>L124-M124</f>
        <v/>
      </c>
      <c r="O124" s="2" t="n"/>
      <c r="P124" s="2" t="n"/>
    </row>
    <row r="125">
      <c r="A125" s="5" t="inlineStr">
        <is>
          <t>ORD-0260</t>
        </is>
      </c>
      <c r="B125" s="50" t="n">
        <v>46170</v>
      </c>
      <c r="C125" s="5" t="inlineStr">
        <is>
          <t>S02</t>
        </is>
      </c>
      <c r="D125" s="5" t="inlineStr">
        <is>
          <t>Pune</t>
        </is>
      </c>
      <c r="E125" s="5" t="inlineStr">
        <is>
          <t>P402</t>
        </is>
      </c>
      <c r="F125" s="5" t="inlineStr">
        <is>
          <t>Accessories</t>
        </is>
      </c>
      <c r="G125" s="5" t="n">
        <v>1</v>
      </c>
      <c r="H125" s="51" t="n">
        <v>1499</v>
      </c>
      <c r="I125" s="62" t="n">
        <v>0</v>
      </c>
      <c r="J125" s="5" t="inlineStr">
        <is>
          <t>Online</t>
        </is>
      </c>
      <c r="K125" s="5" t="inlineStr">
        <is>
          <t>No</t>
        </is>
      </c>
      <c r="L125" s="51">
        <f>G125*H125*(1-I125)</f>
        <v/>
      </c>
      <c r="M125" s="51">
        <f>G125*INDEX(Lookups!$E$3:$E$12,MATCH(E125,Lookups!$A$3:$A$12,0))</f>
        <v/>
      </c>
      <c r="N125" s="51">
        <f>L125-M125</f>
        <v/>
      </c>
      <c r="O125" s="2" t="n"/>
      <c r="P125" s="2" t="n"/>
    </row>
    <row r="126">
      <c r="A126" s="5" t="inlineStr">
        <is>
          <t>ORD-0321</t>
        </is>
      </c>
      <c r="B126" s="50" t="n">
        <v>46170</v>
      </c>
      <c r="C126" s="5" t="inlineStr">
        <is>
          <t>S03</t>
        </is>
      </c>
      <c r="D126" s="5" t="inlineStr">
        <is>
          <t>Delhi</t>
        </is>
      </c>
      <c r="E126" s="5" t="inlineStr">
        <is>
          <t>P302</t>
        </is>
      </c>
      <c r="F126" s="5" t="inlineStr">
        <is>
          <t>Audio</t>
        </is>
      </c>
      <c r="G126" s="5" t="n">
        <v>1</v>
      </c>
      <c r="H126" s="51" t="n">
        <v>4499</v>
      </c>
      <c r="I126" s="62" t="n">
        <v>0.1</v>
      </c>
      <c r="J126" s="5" t="inlineStr">
        <is>
          <t>Walk-in</t>
        </is>
      </c>
      <c r="K126" s="5" t="inlineStr">
        <is>
          <t>No</t>
        </is>
      </c>
      <c r="L126" s="51">
        <f>G126*H126*(1-I126)</f>
        <v/>
      </c>
      <c r="M126" s="51">
        <f>G126*INDEX(Lookups!$E$3:$E$12,MATCH(E126,Lookups!$A$3:$A$12,0))</f>
        <v/>
      </c>
      <c r="N126" s="51">
        <f>L126-M126</f>
        <v/>
      </c>
      <c r="O126" s="2" t="n"/>
      <c r="P126" s="2" t="n"/>
    </row>
    <row r="127">
      <c r="A127" s="5" t="inlineStr">
        <is>
          <t>ORD-0364</t>
        </is>
      </c>
      <c r="B127" s="50" t="n">
        <v>46170</v>
      </c>
      <c r="C127" s="5" t="inlineStr">
        <is>
          <t>S02</t>
        </is>
      </c>
      <c r="D127" s="5" t="inlineStr">
        <is>
          <t>Pune</t>
        </is>
      </c>
      <c r="E127" s="5" t="inlineStr">
        <is>
          <t>P101</t>
        </is>
      </c>
      <c r="F127" s="5" t="inlineStr">
        <is>
          <t>Mobiles</t>
        </is>
      </c>
      <c r="G127" s="5" t="n">
        <v>1</v>
      </c>
      <c r="H127" s="51" t="n">
        <v>18999</v>
      </c>
      <c r="I127" s="62" t="n">
        <v>0</v>
      </c>
      <c r="J127" s="5" t="inlineStr">
        <is>
          <t>Corporate</t>
        </is>
      </c>
      <c r="K127" s="5" t="inlineStr">
        <is>
          <t>No</t>
        </is>
      </c>
      <c r="L127" s="51">
        <f>G127*H127*(1-I127)</f>
        <v/>
      </c>
      <c r="M127" s="51">
        <f>G127*INDEX(Lookups!$E$3:$E$12,MATCH(E127,Lookups!$A$3:$A$12,0))</f>
        <v/>
      </c>
      <c r="N127" s="51">
        <f>L127-M127</f>
        <v/>
      </c>
      <c r="O127" s="2" t="n"/>
      <c r="P127" s="2" t="n"/>
    </row>
    <row r="128">
      <c r="A128" s="5" t="inlineStr">
        <is>
          <t>ORD-0301</t>
        </is>
      </c>
      <c r="B128" s="50" t="n">
        <v>46171</v>
      </c>
      <c r="C128" s="5" t="inlineStr">
        <is>
          <t>S02</t>
        </is>
      </c>
      <c r="D128" s="5" t="inlineStr">
        <is>
          <t>Pune</t>
        </is>
      </c>
      <c r="E128" s="5" t="inlineStr">
        <is>
          <t>P201</t>
        </is>
      </c>
      <c r="F128" s="5" t="inlineStr">
        <is>
          <t>Laptops</t>
        </is>
      </c>
      <c r="G128" s="5" t="n">
        <v>3</v>
      </c>
      <c r="H128" s="51" t="n">
        <v>54999</v>
      </c>
      <c r="I128" s="62" t="n">
        <v>0.05</v>
      </c>
      <c r="J128" s="5" t="inlineStr">
        <is>
          <t>Corporate</t>
        </is>
      </c>
      <c r="K128" s="5" t="inlineStr">
        <is>
          <t>Yes</t>
        </is>
      </c>
      <c r="L128" s="51">
        <f>G128*H128*(1-I128)</f>
        <v/>
      </c>
      <c r="M128" s="51">
        <f>G128*INDEX(Lookups!$E$3:$E$12,MATCH(E128,Lookups!$A$3:$A$12,0))</f>
        <v/>
      </c>
      <c r="N128" s="51">
        <f>L128-M128</f>
        <v/>
      </c>
      <c r="O128" s="2" t="n"/>
      <c r="P128" s="2" t="n"/>
    </row>
    <row r="129">
      <c r="A129" s="5" t="inlineStr">
        <is>
          <t>ORD-0026</t>
        </is>
      </c>
      <c r="B129" s="50" t="n">
        <v>46172</v>
      </c>
      <c r="C129" s="5" t="inlineStr">
        <is>
          <t>S01</t>
        </is>
      </c>
      <c r="D129" s="5" t="inlineStr">
        <is>
          <t>Mumbai</t>
        </is>
      </c>
      <c r="E129" s="5" t="inlineStr">
        <is>
          <t>P101</t>
        </is>
      </c>
      <c r="F129" s="5" t="inlineStr">
        <is>
          <t>Mobiles</t>
        </is>
      </c>
      <c r="G129" s="5" t="n">
        <v>1</v>
      </c>
      <c r="H129" s="51" t="n">
        <v>18999</v>
      </c>
      <c r="I129" s="62" t="n">
        <v>0</v>
      </c>
      <c r="J129" s="5" t="inlineStr">
        <is>
          <t>Corporate</t>
        </is>
      </c>
      <c r="K129" s="5" t="inlineStr">
        <is>
          <t>No</t>
        </is>
      </c>
      <c r="L129" s="51">
        <f>G129*H129*(1-I129)</f>
        <v/>
      </c>
      <c r="M129" s="51">
        <f>G129*INDEX(Lookups!$E$3:$E$12,MATCH(E129,Lookups!$A$3:$A$12,0))</f>
        <v/>
      </c>
      <c r="N129" s="51">
        <f>L129-M129</f>
        <v/>
      </c>
      <c r="O129" s="2" t="n"/>
      <c r="P129" s="2" t="n"/>
    </row>
    <row r="130">
      <c r="A130" s="5" t="inlineStr">
        <is>
          <t>ORD-0030</t>
        </is>
      </c>
      <c r="B130" s="50" t="n">
        <v>46172</v>
      </c>
      <c r="C130" s="5" t="inlineStr">
        <is>
          <t>S06</t>
        </is>
      </c>
      <c r="D130" s="5" t="inlineStr">
        <is>
          <t>Gurugram</t>
        </is>
      </c>
      <c r="E130" s="5" t="inlineStr">
        <is>
          <t>P302</t>
        </is>
      </c>
      <c r="F130" s="5" t="inlineStr">
        <is>
          <t>Audio</t>
        </is>
      </c>
      <c r="G130" s="5" t="n">
        <v>1</v>
      </c>
      <c r="H130" s="51" t="n">
        <v>4499</v>
      </c>
      <c r="I130" s="62" t="n">
        <v>0.05</v>
      </c>
      <c r="J130" s="5" t="inlineStr">
        <is>
          <t>Corporate</t>
        </is>
      </c>
      <c r="K130" s="5" t="inlineStr">
        <is>
          <t>No</t>
        </is>
      </c>
      <c r="L130" s="51">
        <f>G130*H130*(1-I130)</f>
        <v/>
      </c>
      <c r="M130" s="51">
        <f>G130*INDEX(Lookups!$E$3:$E$12,MATCH(E130,Lookups!$A$3:$A$12,0))</f>
        <v/>
      </c>
      <c r="N130" s="51">
        <f>L130-M130</f>
        <v/>
      </c>
      <c r="O130" s="2" t="n"/>
      <c r="P130" s="2" t="n"/>
    </row>
    <row r="131">
      <c r="A131" s="5" t="inlineStr">
        <is>
          <t>ORD-0305</t>
        </is>
      </c>
      <c r="B131" s="50" t="n">
        <v>46172</v>
      </c>
      <c r="C131" s="5" t="inlineStr">
        <is>
          <t>S02</t>
        </is>
      </c>
      <c r="D131" s="5" t="inlineStr">
        <is>
          <t>Pune</t>
        </is>
      </c>
      <c r="E131" s="5" t="inlineStr">
        <is>
          <t>P401</t>
        </is>
      </c>
      <c r="F131" s="5" t="inlineStr">
        <is>
          <t>Accessories</t>
        </is>
      </c>
      <c r="G131" s="5" t="n">
        <v>1</v>
      </c>
      <c r="H131" s="51" t="n">
        <v>1799</v>
      </c>
      <c r="I131" s="62" t="n">
        <v>0.1</v>
      </c>
      <c r="J131" s="5" t="inlineStr">
        <is>
          <t>Walk-in</t>
        </is>
      </c>
      <c r="K131" s="5" t="inlineStr">
        <is>
          <t>No</t>
        </is>
      </c>
      <c r="L131" s="51">
        <f>G131*H131*(1-I131)</f>
        <v/>
      </c>
      <c r="M131" s="51">
        <f>G131*INDEX(Lookups!$E$3:$E$12,MATCH(E131,Lookups!$A$3:$A$12,0))</f>
        <v/>
      </c>
      <c r="N131" s="51">
        <f>L131-M131</f>
        <v/>
      </c>
      <c r="O131" s="2" t="n"/>
      <c r="P131" s="2" t="n"/>
    </row>
    <row r="132">
      <c r="A132" s="5" t="inlineStr">
        <is>
          <t>ORD-0019</t>
        </is>
      </c>
      <c r="B132" s="50" t="n">
        <v>46173</v>
      </c>
      <c r="C132" s="5" t="inlineStr">
        <is>
          <t>S02</t>
        </is>
      </c>
      <c r="D132" s="5" t="inlineStr">
        <is>
          <t>Pune</t>
        </is>
      </c>
      <c r="E132" s="5" t="inlineStr">
        <is>
          <t>P101</t>
        </is>
      </c>
      <c r="F132" s="5" t="inlineStr">
        <is>
          <t>Mobiles</t>
        </is>
      </c>
      <c r="G132" s="5" t="n">
        <v>1</v>
      </c>
      <c r="H132" s="51" t="n">
        <v>18999</v>
      </c>
      <c r="I132" s="62" t="n">
        <v>0.05</v>
      </c>
      <c r="J132" s="5" t="inlineStr">
        <is>
          <t>Online</t>
        </is>
      </c>
      <c r="K132" s="5" t="inlineStr">
        <is>
          <t>No</t>
        </is>
      </c>
      <c r="L132" s="51">
        <f>G132*H132*(1-I132)</f>
        <v/>
      </c>
      <c r="M132" s="51">
        <f>G132*INDEX(Lookups!$E$3:$E$12,MATCH(E132,Lookups!$A$3:$A$12,0))</f>
        <v/>
      </c>
      <c r="N132" s="51">
        <f>L132-M132</f>
        <v/>
      </c>
      <c r="O132" s="2" t="n"/>
      <c r="P132" s="2" t="n"/>
    </row>
    <row r="133">
      <c r="A133" s="5" t="inlineStr">
        <is>
          <t>ORD-0069</t>
        </is>
      </c>
      <c r="B133" s="50" t="n">
        <v>46173</v>
      </c>
      <c r="C133" s="5" t="inlineStr">
        <is>
          <t>S03</t>
        </is>
      </c>
      <c r="D133" s="5" t="inlineStr">
        <is>
          <t>Delhi</t>
        </is>
      </c>
      <c r="E133" s="5" t="inlineStr">
        <is>
          <t>P101</t>
        </is>
      </c>
      <c r="F133" s="5" t="inlineStr">
        <is>
          <t>Mobiles</t>
        </is>
      </c>
      <c r="G133" s="5" t="n">
        <v>1</v>
      </c>
      <c r="H133" s="51" t="n">
        <v>18999</v>
      </c>
      <c r="I133" s="62" t="n">
        <v>0.05</v>
      </c>
      <c r="J133" s="5" t="inlineStr">
        <is>
          <t>Walk-in</t>
        </is>
      </c>
      <c r="K133" s="5" t="inlineStr">
        <is>
          <t>No</t>
        </is>
      </c>
      <c r="L133" s="51">
        <f>G133*H133*(1-I133)</f>
        <v/>
      </c>
      <c r="M133" s="51">
        <f>G133*INDEX(Lookups!$E$3:$E$12,MATCH(E133,Lookups!$A$3:$A$12,0))</f>
        <v/>
      </c>
      <c r="N133" s="51">
        <f>L133-M133</f>
        <v/>
      </c>
      <c r="O133" s="2" t="n"/>
      <c r="P133" s="2" t="n"/>
    </row>
    <row r="134">
      <c r="A134" s="5" t="inlineStr">
        <is>
          <t>ORD-0129</t>
        </is>
      </c>
      <c r="B134" s="50" t="n">
        <v>46175</v>
      </c>
      <c r="C134" s="5" t="inlineStr">
        <is>
          <t>S01</t>
        </is>
      </c>
      <c r="D134" s="5" t="inlineStr">
        <is>
          <t>Mumbai</t>
        </is>
      </c>
      <c r="E134" s="5" t="inlineStr">
        <is>
          <t>P501</t>
        </is>
      </c>
      <c r="F134" s="5" t="inlineStr">
        <is>
          <t>TV</t>
        </is>
      </c>
      <c r="G134" s="5" t="n">
        <v>1</v>
      </c>
      <c r="H134" s="51" t="n">
        <v>32999</v>
      </c>
      <c r="I134" s="62" t="n">
        <v>0</v>
      </c>
      <c r="J134" s="5" t="inlineStr">
        <is>
          <t>Corporate</t>
        </is>
      </c>
      <c r="K134" s="5" t="inlineStr">
        <is>
          <t>Yes</t>
        </is>
      </c>
      <c r="L134" s="51">
        <f>G134*H134*(1-I134)</f>
        <v/>
      </c>
      <c r="M134" s="51">
        <f>G134*INDEX(Lookups!$E$3:$E$12,MATCH(E134,Lookups!$A$3:$A$12,0))</f>
        <v/>
      </c>
      <c r="N134" s="51">
        <f>L134-M134</f>
        <v/>
      </c>
      <c r="O134" s="2" t="n"/>
      <c r="P134" s="2" t="n"/>
    </row>
    <row r="135">
      <c r="A135" s="5" t="inlineStr">
        <is>
          <t>ORD-0385</t>
        </is>
      </c>
      <c r="B135" s="50" t="n">
        <v>46175</v>
      </c>
      <c r="C135" s="5" t="inlineStr">
        <is>
          <t>S01</t>
        </is>
      </c>
      <c r="D135" s="5" t="inlineStr">
        <is>
          <t>Mumbai</t>
        </is>
      </c>
      <c r="E135" s="5" t="inlineStr">
        <is>
          <t>P101</t>
        </is>
      </c>
      <c r="F135" s="5" t="inlineStr">
        <is>
          <t>Mobiles</t>
        </is>
      </c>
      <c r="G135" s="5" t="n">
        <v>1</v>
      </c>
      <c r="H135" s="51" t="n">
        <v>18999</v>
      </c>
      <c r="I135" s="62" t="n">
        <v>0</v>
      </c>
      <c r="J135" s="5" t="inlineStr">
        <is>
          <t>Walk-in</t>
        </is>
      </c>
      <c r="K135" s="5" t="inlineStr">
        <is>
          <t>No</t>
        </is>
      </c>
      <c r="L135" s="51">
        <f>G135*H135*(1-I135)</f>
        <v/>
      </c>
      <c r="M135" s="51">
        <f>G135*INDEX(Lookups!$E$3:$E$12,MATCH(E135,Lookups!$A$3:$A$12,0))</f>
        <v/>
      </c>
      <c r="N135" s="51">
        <f>L135-M135</f>
        <v/>
      </c>
      <c r="O135" s="2" t="n"/>
      <c r="P135" s="2" t="n"/>
    </row>
    <row r="136">
      <c r="A136" s="5" t="inlineStr">
        <is>
          <t>ORD-0213</t>
        </is>
      </c>
      <c r="B136" s="50" t="n">
        <v>46176</v>
      </c>
      <c r="C136" s="5" t="inlineStr">
        <is>
          <t>S05</t>
        </is>
      </c>
      <c r="D136" s="5" t="inlineStr">
        <is>
          <t>Chennai</t>
        </is>
      </c>
      <c r="E136" s="5" t="inlineStr">
        <is>
          <t>P101</t>
        </is>
      </c>
      <c r="F136" s="5" t="inlineStr">
        <is>
          <t>Mobiles</t>
        </is>
      </c>
      <c r="G136" s="5" t="n">
        <v>1</v>
      </c>
      <c r="H136" s="51" t="n">
        <v>18999</v>
      </c>
      <c r="I136" s="62" t="n">
        <v>0.05</v>
      </c>
      <c r="J136" s="5" t="inlineStr">
        <is>
          <t>Online</t>
        </is>
      </c>
      <c r="K136" s="5" t="inlineStr">
        <is>
          <t>Yes</t>
        </is>
      </c>
      <c r="L136" s="51">
        <f>G136*H136*(1-I136)</f>
        <v/>
      </c>
      <c r="M136" s="51">
        <f>G136*INDEX(Lookups!$E$3:$E$12,MATCH(E136,Lookups!$A$3:$A$12,0))</f>
        <v/>
      </c>
      <c r="N136" s="51">
        <f>L136-M136</f>
        <v/>
      </c>
      <c r="O136" s="2" t="n"/>
      <c r="P136" s="2" t="n"/>
    </row>
    <row r="137">
      <c r="A137" s="5" t="inlineStr">
        <is>
          <t>ORD-0215</t>
        </is>
      </c>
      <c r="B137" s="50" t="n">
        <v>46176</v>
      </c>
      <c r="C137" s="5" t="inlineStr">
        <is>
          <t>S06</t>
        </is>
      </c>
      <c r="D137" s="5" t="inlineStr">
        <is>
          <t>Gurugram</t>
        </is>
      </c>
      <c r="E137" s="5" t="inlineStr">
        <is>
          <t>P301</t>
        </is>
      </c>
      <c r="F137" s="5" t="inlineStr">
        <is>
          <t>Audio</t>
        </is>
      </c>
      <c r="G137" s="5" t="n">
        <v>1</v>
      </c>
      <c r="H137" s="51" t="n">
        <v>2999</v>
      </c>
      <c r="I137" s="62" t="n">
        <v>0</v>
      </c>
      <c r="J137" s="5" t="inlineStr">
        <is>
          <t>Walk-in</t>
        </is>
      </c>
      <c r="K137" s="5" t="inlineStr">
        <is>
          <t>No</t>
        </is>
      </c>
      <c r="L137" s="51">
        <f>G137*H137*(1-I137)</f>
        <v/>
      </c>
      <c r="M137" s="51">
        <f>G137*INDEX(Lookups!$E$3:$E$12,MATCH(E137,Lookups!$A$3:$A$12,0))</f>
        <v/>
      </c>
      <c r="N137" s="51">
        <f>L137-M137</f>
        <v/>
      </c>
      <c r="O137" s="2" t="n"/>
      <c r="P137" s="2" t="n"/>
    </row>
    <row r="138">
      <c r="A138" s="5" t="inlineStr">
        <is>
          <t>ORD-0219</t>
        </is>
      </c>
      <c r="B138" s="50" t="n">
        <v>46176</v>
      </c>
      <c r="C138" s="5" t="inlineStr">
        <is>
          <t>S02</t>
        </is>
      </c>
      <c r="D138" s="5" t="inlineStr">
        <is>
          <t>Pune</t>
        </is>
      </c>
      <c r="E138" s="5" t="inlineStr">
        <is>
          <t>P401</t>
        </is>
      </c>
      <c r="F138" s="5" t="inlineStr">
        <is>
          <t>Accessories</t>
        </is>
      </c>
      <c r="G138" s="5" t="n">
        <v>1</v>
      </c>
      <c r="H138" s="51" t="n">
        <v>1799</v>
      </c>
      <c r="I138" s="62" t="n">
        <v>0.05</v>
      </c>
      <c r="J138" s="5" t="inlineStr">
        <is>
          <t>Corporate</t>
        </is>
      </c>
      <c r="K138" s="5" t="inlineStr">
        <is>
          <t>Yes</t>
        </is>
      </c>
      <c r="L138" s="51">
        <f>G138*H138*(1-I138)</f>
        <v/>
      </c>
      <c r="M138" s="51">
        <f>G138*INDEX(Lookups!$E$3:$E$12,MATCH(E138,Lookups!$A$3:$A$12,0))</f>
        <v/>
      </c>
      <c r="N138" s="51">
        <f>L138-M138</f>
        <v/>
      </c>
      <c r="O138" s="2" t="n"/>
      <c r="P138" s="2" t="n"/>
    </row>
    <row r="139">
      <c r="A139" s="5" t="inlineStr">
        <is>
          <t>ORD-0257</t>
        </is>
      </c>
      <c r="B139" s="50" t="n">
        <v>46177</v>
      </c>
      <c r="C139" s="5" t="inlineStr">
        <is>
          <t>S01</t>
        </is>
      </c>
      <c r="D139" s="5" t="inlineStr">
        <is>
          <t>Mumbai</t>
        </is>
      </c>
      <c r="E139" s="5" t="inlineStr">
        <is>
          <t>P401</t>
        </is>
      </c>
      <c r="F139" s="5" t="inlineStr">
        <is>
          <t>Accessories</t>
        </is>
      </c>
      <c r="G139" s="5" t="n">
        <v>1</v>
      </c>
      <c r="H139" s="51" t="n">
        <v>1799</v>
      </c>
      <c r="I139" s="62" t="n">
        <v>0.1</v>
      </c>
      <c r="J139" s="5" t="inlineStr">
        <is>
          <t>Online</t>
        </is>
      </c>
      <c r="K139" s="5" t="inlineStr">
        <is>
          <t>No</t>
        </is>
      </c>
      <c r="L139" s="51">
        <f>G139*H139*(1-I139)</f>
        <v/>
      </c>
      <c r="M139" s="51">
        <f>G139*INDEX(Lookups!$E$3:$E$12,MATCH(E139,Lookups!$A$3:$A$12,0))</f>
        <v/>
      </c>
      <c r="N139" s="51">
        <f>L139-M139</f>
        <v/>
      </c>
      <c r="O139" s="2" t="n"/>
      <c r="P139" s="2" t="n"/>
    </row>
    <row r="140">
      <c r="A140" s="5" t="inlineStr">
        <is>
          <t>ORD-0035</t>
        </is>
      </c>
      <c r="B140" s="50" t="n">
        <v>46179</v>
      </c>
      <c r="C140" s="5" t="inlineStr">
        <is>
          <t>S05</t>
        </is>
      </c>
      <c r="D140" s="5" t="inlineStr">
        <is>
          <t>Chennai</t>
        </is>
      </c>
      <c r="E140" s="5" t="inlineStr">
        <is>
          <t>P401</t>
        </is>
      </c>
      <c r="F140" s="5" t="inlineStr">
        <is>
          <t>Accessories</t>
        </is>
      </c>
      <c r="G140" s="5" t="n">
        <v>1</v>
      </c>
      <c r="H140" s="51" t="n">
        <v>1799</v>
      </c>
      <c r="I140" s="62" t="n">
        <v>0</v>
      </c>
      <c r="J140" s="5" t="inlineStr">
        <is>
          <t>Online</t>
        </is>
      </c>
      <c r="K140" s="5" t="inlineStr">
        <is>
          <t>No</t>
        </is>
      </c>
      <c r="L140" s="51">
        <f>G140*H140*(1-I140)</f>
        <v/>
      </c>
      <c r="M140" s="51">
        <f>G140*INDEX(Lookups!$E$3:$E$12,MATCH(E140,Lookups!$A$3:$A$12,0))</f>
        <v/>
      </c>
      <c r="N140" s="51">
        <f>L140-M140</f>
        <v/>
      </c>
      <c r="O140" s="2" t="n"/>
      <c r="P140" s="2" t="n"/>
    </row>
    <row r="141">
      <c r="A141" s="5" t="inlineStr">
        <is>
          <t>ORD-0076</t>
        </is>
      </c>
      <c r="B141" s="50" t="n">
        <v>46179</v>
      </c>
      <c r="C141" s="5" t="inlineStr">
        <is>
          <t>S04</t>
        </is>
      </c>
      <c r="D141" s="5" t="inlineStr">
        <is>
          <t>Bengaluru</t>
        </is>
      </c>
      <c r="E141" s="5" t="inlineStr">
        <is>
          <t>P402</t>
        </is>
      </c>
      <c r="F141" s="5" t="inlineStr">
        <is>
          <t>Accessories</t>
        </is>
      </c>
      <c r="G141" s="5" t="n">
        <v>1</v>
      </c>
      <c r="H141" s="51" t="n">
        <v>1499</v>
      </c>
      <c r="I141" s="62" t="n">
        <v>0.05</v>
      </c>
      <c r="J141" s="5" t="inlineStr">
        <is>
          <t>Corporate</t>
        </is>
      </c>
      <c r="K141" s="5" t="inlineStr">
        <is>
          <t>No</t>
        </is>
      </c>
      <c r="L141" s="51">
        <f>G141*H141*(1-I141)</f>
        <v/>
      </c>
      <c r="M141" s="51">
        <f>G141*INDEX(Lookups!$E$3:$E$12,MATCH(E141,Lookups!$A$3:$A$12,0))</f>
        <v/>
      </c>
      <c r="N141" s="51">
        <f>L141-M141</f>
        <v/>
      </c>
      <c r="O141" s="2" t="n"/>
      <c r="P141" s="2" t="n"/>
    </row>
    <row r="142">
      <c r="A142" s="5" t="inlineStr">
        <is>
          <t>ORD-0374</t>
        </is>
      </c>
      <c r="B142" s="50" t="n">
        <v>46179</v>
      </c>
      <c r="C142" s="5" t="inlineStr">
        <is>
          <t>S04</t>
        </is>
      </c>
      <c r="D142" s="5" t="inlineStr">
        <is>
          <t>Bengaluru</t>
        </is>
      </c>
      <c r="E142" s="5" t="inlineStr">
        <is>
          <t>P401</t>
        </is>
      </c>
      <c r="F142" s="5" t="inlineStr">
        <is>
          <t>Accessories</t>
        </is>
      </c>
      <c r="G142" s="5" t="n">
        <v>1</v>
      </c>
      <c r="H142" s="51" t="n">
        <v>1799</v>
      </c>
      <c r="I142" s="62" t="n">
        <v>0</v>
      </c>
      <c r="J142" s="5" t="inlineStr">
        <is>
          <t>Online</t>
        </is>
      </c>
      <c r="K142" s="5" t="inlineStr">
        <is>
          <t>No</t>
        </is>
      </c>
      <c r="L142" s="51">
        <f>G142*H142*(1-I142)</f>
        <v/>
      </c>
      <c r="M142" s="51">
        <f>G142*INDEX(Lookups!$E$3:$E$12,MATCH(E142,Lookups!$A$3:$A$12,0))</f>
        <v/>
      </c>
      <c r="N142" s="51">
        <f>L142-M142</f>
        <v/>
      </c>
      <c r="O142" s="2" t="n"/>
      <c r="P142" s="2" t="n"/>
    </row>
    <row r="143">
      <c r="A143" s="5" t="inlineStr">
        <is>
          <t>ORD-0376</t>
        </is>
      </c>
      <c r="B143" s="50" t="n">
        <v>46179</v>
      </c>
      <c r="C143" s="5" t="inlineStr">
        <is>
          <t>S03</t>
        </is>
      </c>
      <c r="D143" s="5" t="inlineStr">
        <is>
          <t>Delhi</t>
        </is>
      </c>
      <c r="E143" s="5" t="inlineStr">
        <is>
          <t>P502</t>
        </is>
      </c>
      <c r="F143" s="5" t="inlineStr">
        <is>
          <t>TV</t>
        </is>
      </c>
      <c r="G143" s="5" t="n">
        <v>1</v>
      </c>
      <c r="H143" s="51" t="n">
        <v>52999</v>
      </c>
      <c r="I143" s="62" t="n">
        <v>0.1</v>
      </c>
      <c r="J143" s="5" t="inlineStr">
        <is>
          <t>Walk-in</t>
        </is>
      </c>
      <c r="K143" s="5" t="inlineStr">
        <is>
          <t>No</t>
        </is>
      </c>
      <c r="L143" s="51">
        <f>G143*H143*(1-I143)</f>
        <v/>
      </c>
      <c r="M143" s="51">
        <f>G143*INDEX(Lookups!$E$3:$E$12,MATCH(E143,Lookups!$A$3:$A$12,0))</f>
        <v/>
      </c>
      <c r="N143" s="51">
        <f>L143-M143</f>
        <v/>
      </c>
      <c r="O143" s="2" t="n"/>
      <c r="P143" s="2" t="n"/>
    </row>
    <row r="144">
      <c r="A144" s="5" t="inlineStr">
        <is>
          <t>ORD-0124</t>
        </is>
      </c>
      <c r="B144" s="50" t="n">
        <v>46180</v>
      </c>
      <c r="C144" s="5" t="inlineStr">
        <is>
          <t>S02</t>
        </is>
      </c>
      <c r="D144" s="5" t="inlineStr">
        <is>
          <t>Pune</t>
        </is>
      </c>
      <c r="E144" s="5" t="inlineStr">
        <is>
          <t>P101</t>
        </is>
      </c>
      <c r="F144" s="5" t="inlineStr">
        <is>
          <t>Mobiles</t>
        </is>
      </c>
      <c r="G144" s="5" t="n">
        <v>1</v>
      </c>
      <c r="H144" s="51" t="n">
        <v>18999</v>
      </c>
      <c r="I144" s="62" t="n">
        <v>0.1</v>
      </c>
      <c r="J144" s="5" t="inlineStr">
        <is>
          <t>Corporate</t>
        </is>
      </c>
      <c r="K144" s="5" t="inlineStr">
        <is>
          <t>No</t>
        </is>
      </c>
      <c r="L144" s="51">
        <f>G144*H144*(1-I144)</f>
        <v/>
      </c>
      <c r="M144" s="51">
        <f>G144*INDEX(Lookups!$E$3:$E$12,MATCH(E144,Lookups!$A$3:$A$12,0))</f>
        <v/>
      </c>
      <c r="N144" s="51">
        <f>L144-M144</f>
        <v/>
      </c>
      <c r="O144" s="2" t="n"/>
      <c r="P144" s="2" t="n"/>
    </row>
    <row r="145">
      <c r="A145" s="5" t="inlineStr">
        <is>
          <t>ORD-0117</t>
        </is>
      </c>
      <c r="B145" s="50" t="n">
        <v>46181</v>
      </c>
      <c r="C145" s="5" t="inlineStr">
        <is>
          <t>S02</t>
        </is>
      </c>
      <c r="D145" s="5" t="inlineStr">
        <is>
          <t>Pune</t>
        </is>
      </c>
      <c r="E145" s="5" t="inlineStr">
        <is>
          <t>P501</t>
        </is>
      </c>
      <c r="F145" s="5" t="inlineStr">
        <is>
          <t>TV</t>
        </is>
      </c>
      <c r="G145" s="5" t="n">
        <v>1</v>
      </c>
      <c r="H145" s="51" t="n">
        <v>32999</v>
      </c>
      <c r="I145" s="62" t="n">
        <v>0.1</v>
      </c>
      <c r="J145" s="5" t="inlineStr">
        <is>
          <t>Walk-in</t>
        </is>
      </c>
      <c r="K145" s="5" t="inlineStr">
        <is>
          <t>Yes</t>
        </is>
      </c>
      <c r="L145" s="51">
        <f>G145*H145*(1-I145)</f>
        <v/>
      </c>
      <c r="M145" s="51">
        <f>G145*INDEX(Lookups!$E$3:$E$12,MATCH(E145,Lookups!$A$3:$A$12,0))</f>
        <v/>
      </c>
      <c r="N145" s="51">
        <f>L145-M145</f>
        <v/>
      </c>
      <c r="O145" s="2" t="n"/>
      <c r="P145" s="2" t="n"/>
    </row>
    <row r="146">
      <c r="A146" s="5" t="inlineStr">
        <is>
          <t>ORD-0157</t>
        </is>
      </c>
      <c r="B146" s="50" t="n">
        <v>46181</v>
      </c>
      <c r="C146" s="5" t="inlineStr">
        <is>
          <t>S02</t>
        </is>
      </c>
      <c r="D146" s="5" t="inlineStr">
        <is>
          <t>Pune</t>
        </is>
      </c>
      <c r="E146" s="5" t="inlineStr">
        <is>
          <t>P401</t>
        </is>
      </c>
      <c r="F146" s="5" t="inlineStr">
        <is>
          <t>Accessories</t>
        </is>
      </c>
      <c r="G146" s="5" t="n">
        <v>4</v>
      </c>
      <c r="H146" s="51" t="n">
        <v>1799</v>
      </c>
      <c r="I146" s="62" t="n">
        <v>0.1</v>
      </c>
      <c r="J146" s="5" t="inlineStr">
        <is>
          <t>Walk-in</t>
        </is>
      </c>
      <c r="K146" s="5" t="inlineStr">
        <is>
          <t>No</t>
        </is>
      </c>
      <c r="L146" s="51">
        <f>G146*H146*(1-I146)</f>
        <v/>
      </c>
      <c r="M146" s="51">
        <f>G146*INDEX(Lookups!$E$3:$E$12,MATCH(E146,Lookups!$A$3:$A$12,0))</f>
        <v/>
      </c>
      <c r="N146" s="51">
        <f>L146-M146</f>
        <v/>
      </c>
      <c r="O146" s="2" t="n"/>
      <c r="P146" s="2" t="n"/>
    </row>
    <row r="147">
      <c r="A147" s="5" t="inlineStr">
        <is>
          <t>ORD-0243</t>
        </is>
      </c>
      <c r="B147" s="50" t="n">
        <v>46181</v>
      </c>
      <c r="C147" s="5" t="inlineStr">
        <is>
          <t>S01</t>
        </is>
      </c>
      <c r="D147" s="5" t="inlineStr">
        <is>
          <t>Mumbai</t>
        </is>
      </c>
      <c r="E147" s="5" t="inlineStr">
        <is>
          <t>P402</t>
        </is>
      </c>
      <c r="F147" s="5" t="inlineStr">
        <is>
          <t>Accessories</t>
        </is>
      </c>
      <c r="G147" s="5" t="n">
        <v>2</v>
      </c>
      <c r="H147" s="51" t="n">
        <v>1499</v>
      </c>
      <c r="I147" s="62" t="n">
        <v>0</v>
      </c>
      <c r="J147" s="5" t="inlineStr">
        <is>
          <t>Corporate</t>
        </is>
      </c>
      <c r="K147" s="5" t="inlineStr">
        <is>
          <t>No</t>
        </is>
      </c>
      <c r="L147" s="51">
        <f>G147*H147*(1-I147)</f>
        <v/>
      </c>
      <c r="M147" s="51">
        <f>G147*INDEX(Lookups!$E$3:$E$12,MATCH(E147,Lookups!$A$3:$A$12,0))</f>
        <v/>
      </c>
      <c r="N147" s="51">
        <f>L147-M147</f>
        <v/>
      </c>
      <c r="O147" s="2" t="n"/>
      <c r="P147" s="2" t="n"/>
    </row>
    <row r="148">
      <c r="A148" s="5" t="inlineStr">
        <is>
          <t>ORD-0256</t>
        </is>
      </c>
      <c r="B148" s="50" t="n">
        <v>46181</v>
      </c>
      <c r="C148" s="5" t="inlineStr">
        <is>
          <t>S02</t>
        </is>
      </c>
      <c r="D148" s="5" t="inlineStr">
        <is>
          <t>Pune</t>
        </is>
      </c>
      <c r="E148" s="5" t="inlineStr">
        <is>
          <t>P302</t>
        </is>
      </c>
      <c r="F148" s="5" t="inlineStr">
        <is>
          <t>Audio</t>
        </is>
      </c>
      <c r="G148" s="5" t="n">
        <v>2</v>
      </c>
      <c r="H148" s="51" t="n">
        <v>4499</v>
      </c>
      <c r="I148" s="62" t="n">
        <v>0.05</v>
      </c>
      <c r="J148" s="5" t="inlineStr">
        <is>
          <t>Online</t>
        </is>
      </c>
      <c r="K148" s="5" t="inlineStr">
        <is>
          <t>Yes</t>
        </is>
      </c>
      <c r="L148" s="51">
        <f>G148*H148*(1-I148)</f>
        <v/>
      </c>
      <c r="M148" s="51">
        <f>G148*INDEX(Lookups!$E$3:$E$12,MATCH(E148,Lookups!$A$3:$A$12,0))</f>
        <v/>
      </c>
      <c r="N148" s="51">
        <f>L148-M148</f>
        <v/>
      </c>
      <c r="O148" s="2" t="n"/>
      <c r="P148" s="2" t="n"/>
    </row>
    <row r="149">
      <c r="A149" s="5" t="inlineStr">
        <is>
          <t>ORD-0340</t>
        </is>
      </c>
      <c r="B149" s="50" t="n">
        <v>46181</v>
      </c>
      <c r="C149" s="5" t="inlineStr">
        <is>
          <t>S02</t>
        </is>
      </c>
      <c r="D149" s="5" t="inlineStr">
        <is>
          <t>Pune</t>
        </is>
      </c>
      <c r="E149" s="5" t="inlineStr">
        <is>
          <t>P201</t>
        </is>
      </c>
      <c r="F149" s="5" t="inlineStr">
        <is>
          <t>Laptops</t>
        </is>
      </c>
      <c r="G149" s="5" t="n">
        <v>2</v>
      </c>
      <c r="H149" s="51" t="n">
        <v>54999</v>
      </c>
      <c r="I149" s="62" t="n">
        <v>0.1</v>
      </c>
      <c r="J149" s="5" t="inlineStr">
        <is>
          <t>Walk-in</t>
        </is>
      </c>
      <c r="K149" s="5" t="inlineStr">
        <is>
          <t>No</t>
        </is>
      </c>
      <c r="L149" s="51">
        <f>G149*H149*(1-I149)</f>
        <v/>
      </c>
      <c r="M149" s="51">
        <f>G149*INDEX(Lookups!$E$3:$E$12,MATCH(E149,Lookups!$A$3:$A$12,0))</f>
        <v/>
      </c>
      <c r="N149" s="51">
        <f>L149-M149</f>
        <v/>
      </c>
      <c r="O149" s="2" t="n"/>
      <c r="P149" s="2" t="n"/>
    </row>
    <row r="150">
      <c r="A150" s="5" t="inlineStr">
        <is>
          <t>ORD-0201</t>
        </is>
      </c>
      <c r="B150" s="50" t="n">
        <v>46182</v>
      </c>
      <c r="C150" s="5" t="inlineStr">
        <is>
          <t>S05</t>
        </is>
      </c>
      <c r="D150" s="5" t="inlineStr">
        <is>
          <t>Chennai</t>
        </is>
      </c>
      <c r="E150" s="5" t="inlineStr">
        <is>
          <t>P302</t>
        </is>
      </c>
      <c r="F150" s="5" t="inlineStr">
        <is>
          <t>Audio</t>
        </is>
      </c>
      <c r="G150" s="5" t="n">
        <v>1</v>
      </c>
      <c r="H150" s="51" t="n">
        <v>4499</v>
      </c>
      <c r="I150" s="62" t="n">
        <v>0.1</v>
      </c>
      <c r="J150" s="5" t="inlineStr">
        <is>
          <t>Online</t>
        </is>
      </c>
      <c r="K150" s="5" t="inlineStr">
        <is>
          <t>Yes</t>
        </is>
      </c>
      <c r="L150" s="51">
        <f>G150*H150*(1-I150)</f>
        <v/>
      </c>
      <c r="M150" s="51">
        <f>G150*INDEX(Lookups!$E$3:$E$12,MATCH(E150,Lookups!$A$3:$A$12,0))</f>
        <v/>
      </c>
      <c r="N150" s="51">
        <f>L150-M150</f>
        <v/>
      </c>
      <c r="O150" s="2" t="n"/>
      <c r="P150" s="2" t="n"/>
    </row>
    <row r="151">
      <c r="A151" s="5" t="inlineStr">
        <is>
          <t>ORD-0042</t>
        </is>
      </c>
      <c r="B151" s="50" t="n">
        <v>46183</v>
      </c>
      <c r="C151" s="5" t="inlineStr">
        <is>
          <t>S01</t>
        </is>
      </c>
      <c r="D151" s="5" t="inlineStr">
        <is>
          <t>Mumbai</t>
        </is>
      </c>
      <c r="E151" s="5" t="inlineStr">
        <is>
          <t>P101</t>
        </is>
      </c>
      <c r="F151" s="5" t="inlineStr">
        <is>
          <t>Mobiles</t>
        </is>
      </c>
      <c r="G151" s="5" t="n">
        <v>1</v>
      </c>
      <c r="H151" s="51" t="n">
        <v>18999</v>
      </c>
      <c r="I151" s="62" t="n">
        <v>0</v>
      </c>
      <c r="J151" s="5" t="inlineStr">
        <is>
          <t>Corporate</t>
        </is>
      </c>
      <c r="K151" s="5" t="inlineStr">
        <is>
          <t>No</t>
        </is>
      </c>
      <c r="L151" s="51">
        <f>G151*H151*(1-I151)</f>
        <v/>
      </c>
      <c r="M151" s="51">
        <f>G151*INDEX(Lookups!$E$3:$E$12,MATCH(E151,Lookups!$A$3:$A$12,0))</f>
        <v/>
      </c>
      <c r="N151" s="51">
        <f>L151-M151</f>
        <v/>
      </c>
      <c r="O151" s="2" t="n"/>
      <c r="P151" s="2" t="n"/>
    </row>
    <row r="152">
      <c r="A152" s="5" t="inlineStr">
        <is>
          <t>ORD-0147</t>
        </is>
      </c>
      <c r="B152" s="50" t="n">
        <v>46183</v>
      </c>
      <c r="C152" s="5" t="inlineStr">
        <is>
          <t>S04</t>
        </is>
      </c>
      <c r="D152" s="5" t="inlineStr">
        <is>
          <t>Bengaluru</t>
        </is>
      </c>
      <c r="E152" s="5" t="inlineStr">
        <is>
          <t>P201</t>
        </is>
      </c>
      <c r="F152" s="5" t="inlineStr">
        <is>
          <t>Laptops</t>
        </is>
      </c>
      <c r="G152" s="5" t="n">
        <v>1</v>
      </c>
      <c r="H152" s="51" t="n">
        <v>54999</v>
      </c>
      <c r="I152" s="62" t="n">
        <v>0.1</v>
      </c>
      <c r="J152" s="5" t="inlineStr">
        <is>
          <t>Online</t>
        </is>
      </c>
      <c r="K152" s="5" t="inlineStr">
        <is>
          <t>No</t>
        </is>
      </c>
      <c r="L152" s="51">
        <f>G152*H152*(1-I152)</f>
        <v/>
      </c>
      <c r="M152" s="51">
        <f>G152*INDEX(Lookups!$E$3:$E$12,MATCH(E152,Lookups!$A$3:$A$12,0))</f>
        <v/>
      </c>
      <c r="N152" s="51">
        <f>L152-M152</f>
        <v/>
      </c>
      <c r="O152" s="2" t="n"/>
      <c r="P152" s="2" t="n"/>
    </row>
    <row r="153">
      <c r="A153" s="5" t="inlineStr">
        <is>
          <t>ORD-0153</t>
        </is>
      </c>
      <c r="B153" s="50" t="n">
        <v>46185</v>
      </c>
      <c r="C153" s="5" t="inlineStr">
        <is>
          <t>S05</t>
        </is>
      </c>
      <c r="D153" s="5" t="inlineStr">
        <is>
          <t>Chennai</t>
        </is>
      </c>
      <c r="E153" s="5" t="inlineStr">
        <is>
          <t>P401</t>
        </is>
      </c>
      <c r="F153" s="5" t="inlineStr">
        <is>
          <t>Accessories</t>
        </is>
      </c>
      <c r="G153" s="5" t="n">
        <v>1</v>
      </c>
      <c r="H153" s="51" t="n">
        <v>1799</v>
      </c>
      <c r="I153" s="62" t="n">
        <v>0.1</v>
      </c>
      <c r="J153" s="5" t="inlineStr">
        <is>
          <t>Walk-in</t>
        </is>
      </c>
      <c r="K153" s="5" t="inlineStr">
        <is>
          <t>No</t>
        </is>
      </c>
      <c r="L153" s="51">
        <f>G153*H153*(1-I153)</f>
        <v/>
      </c>
      <c r="M153" s="51">
        <f>G153*INDEX(Lookups!$E$3:$E$12,MATCH(E153,Lookups!$A$3:$A$12,0))</f>
        <v/>
      </c>
      <c r="N153" s="51">
        <f>L153-M153</f>
        <v/>
      </c>
      <c r="O153" s="2" t="n"/>
      <c r="P153" s="2" t="n"/>
    </row>
    <row r="154">
      <c r="A154" s="5" t="inlineStr">
        <is>
          <t>ORD-0211</t>
        </is>
      </c>
      <c r="B154" s="50" t="n">
        <v>46185</v>
      </c>
      <c r="C154" s="5" t="inlineStr">
        <is>
          <t>S02</t>
        </is>
      </c>
      <c r="D154" s="5" t="inlineStr">
        <is>
          <t>Pune</t>
        </is>
      </c>
      <c r="E154" s="5" t="inlineStr">
        <is>
          <t>P402</t>
        </is>
      </c>
      <c r="F154" s="5" t="inlineStr">
        <is>
          <t>Accessories</t>
        </is>
      </c>
      <c r="G154" s="5" t="n">
        <v>1</v>
      </c>
      <c r="H154" s="51" t="n">
        <v>1499</v>
      </c>
      <c r="I154" s="62" t="n">
        <v>0.1</v>
      </c>
      <c r="J154" s="5" t="inlineStr">
        <is>
          <t>Corporate</t>
        </is>
      </c>
      <c r="K154" s="5" t="inlineStr">
        <is>
          <t>No</t>
        </is>
      </c>
      <c r="L154" s="51">
        <f>G154*H154*(1-I154)</f>
        <v/>
      </c>
      <c r="M154" s="51">
        <f>G154*INDEX(Lookups!$E$3:$E$12,MATCH(E154,Lookups!$A$3:$A$12,0))</f>
        <v/>
      </c>
      <c r="N154" s="51">
        <f>L154-M154</f>
        <v/>
      </c>
      <c r="O154" s="2" t="n"/>
      <c r="P154" s="2" t="n"/>
    </row>
    <row r="155">
      <c r="A155" s="5" t="inlineStr">
        <is>
          <t>ORD-0331</t>
        </is>
      </c>
      <c r="B155" s="50" t="n">
        <v>46185</v>
      </c>
      <c r="C155" s="5" t="inlineStr">
        <is>
          <t>S05</t>
        </is>
      </c>
      <c r="D155" s="5" t="inlineStr">
        <is>
          <t>Chennai</t>
        </is>
      </c>
      <c r="E155" s="5" t="inlineStr">
        <is>
          <t>P302</t>
        </is>
      </c>
      <c r="F155" s="5" t="inlineStr">
        <is>
          <t>Audio</t>
        </is>
      </c>
      <c r="G155" s="5" t="n">
        <v>2</v>
      </c>
      <c r="H155" s="51" t="n">
        <v>4499</v>
      </c>
      <c r="I155" s="62" t="n">
        <v>0.05</v>
      </c>
      <c r="J155" s="5" t="inlineStr">
        <is>
          <t>Online</t>
        </is>
      </c>
      <c r="K155" s="5" t="inlineStr">
        <is>
          <t>Yes</t>
        </is>
      </c>
      <c r="L155" s="51">
        <f>G155*H155*(1-I155)</f>
        <v/>
      </c>
      <c r="M155" s="51">
        <f>G155*INDEX(Lookups!$E$3:$E$12,MATCH(E155,Lookups!$A$3:$A$12,0))</f>
        <v/>
      </c>
      <c r="N155" s="51">
        <f>L155-M155</f>
        <v/>
      </c>
      <c r="O155" s="2" t="n"/>
      <c r="P155" s="2" t="n"/>
    </row>
    <row r="156">
      <c r="A156" s="5" t="inlineStr">
        <is>
          <t>ORD-0139</t>
        </is>
      </c>
      <c r="B156" s="50" t="n">
        <v>46186</v>
      </c>
      <c r="C156" s="5" t="inlineStr">
        <is>
          <t>S01</t>
        </is>
      </c>
      <c r="D156" s="5" t="inlineStr">
        <is>
          <t>Mumbai</t>
        </is>
      </c>
      <c r="E156" s="5" t="inlineStr">
        <is>
          <t>P301</t>
        </is>
      </c>
      <c r="F156" s="5" t="inlineStr">
        <is>
          <t>Audio</t>
        </is>
      </c>
      <c r="G156" s="5" t="n">
        <v>1</v>
      </c>
      <c r="H156" s="51" t="n">
        <v>2999</v>
      </c>
      <c r="I156" s="62" t="n">
        <v>0.05</v>
      </c>
      <c r="J156" s="5" t="inlineStr">
        <is>
          <t>Walk-in</t>
        </is>
      </c>
      <c r="K156" s="5" t="inlineStr">
        <is>
          <t>No</t>
        </is>
      </c>
      <c r="L156" s="51">
        <f>G156*H156*(1-I156)</f>
        <v/>
      </c>
      <c r="M156" s="51">
        <f>G156*INDEX(Lookups!$E$3:$E$12,MATCH(E156,Lookups!$A$3:$A$12,0))</f>
        <v/>
      </c>
      <c r="N156" s="51">
        <f>L156-M156</f>
        <v/>
      </c>
      <c r="O156" s="2" t="n"/>
      <c r="P156" s="2" t="n"/>
    </row>
    <row r="157">
      <c r="A157" s="5" t="inlineStr">
        <is>
          <t>ORD-0314</t>
        </is>
      </c>
      <c r="B157" s="50" t="n">
        <v>46186</v>
      </c>
      <c r="C157" s="5" t="inlineStr">
        <is>
          <t>S06</t>
        </is>
      </c>
      <c r="D157" s="5" t="inlineStr">
        <is>
          <t>Gurugram</t>
        </is>
      </c>
      <c r="E157" s="5" t="inlineStr">
        <is>
          <t>P301</t>
        </is>
      </c>
      <c r="F157" s="5" t="inlineStr">
        <is>
          <t>Audio</t>
        </is>
      </c>
      <c r="G157" s="5" t="n">
        <v>1</v>
      </c>
      <c r="H157" s="51" t="n">
        <v>2999</v>
      </c>
      <c r="I157" s="62" t="n">
        <v>0</v>
      </c>
      <c r="J157" s="5" t="inlineStr">
        <is>
          <t>Walk-in</t>
        </is>
      </c>
      <c r="K157" s="5" t="inlineStr">
        <is>
          <t>No</t>
        </is>
      </c>
      <c r="L157" s="51">
        <f>G157*H157*(1-I157)</f>
        <v/>
      </c>
      <c r="M157" s="51">
        <f>G157*INDEX(Lookups!$E$3:$E$12,MATCH(E157,Lookups!$A$3:$A$12,0))</f>
        <v/>
      </c>
      <c r="N157" s="51">
        <f>L157-M157</f>
        <v/>
      </c>
      <c r="O157" s="2" t="n"/>
      <c r="P157" s="2" t="n"/>
    </row>
    <row r="158">
      <c r="A158" s="5" t="inlineStr">
        <is>
          <t>ORD-0028</t>
        </is>
      </c>
      <c r="B158" s="50" t="n">
        <v>46187</v>
      </c>
      <c r="C158" s="5" t="inlineStr">
        <is>
          <t>S06</t>
        </is>
      </c>
      <c r="D158" s="5" t="inlineStr">
        <is>
          <t>Gurugram</t>
        </is>
      </c>
      <c r="E158" s="5" t="inlineStr">
        <is>
          <t>P302</t>
        </is>
      </c>
      <c r="F158" s="5" t="inlineStr">
        <is>
          <t>Audio</t>
        </is>
      </c>
      <c r="G158" s="5" t="n">
        <v>1</v>
      </c>
      <c r="H158" s="51" t="n">
        <v>4499</v>
      </c>
      <c r="I158" s="62" t="n">
        <v>0</v>
      </c>
      <c r="J158" s="5" t="inlineStr">
        <is>
          <t>Online</t>
        </is>
      </c>
      <c r="K158" s="5" t="inlineStr">
        <is>
          <t>No</t>
        </is>
      </c>
      <c r="L158" s="51">
        <f>G158*H158*(1-I158)</f>
        <v/>
      </c>
      <c r="M158" s="51">
        <f>G158*INDEX(Lookups!$E$3:$E$12,MATCH(E158,Lookups!$A$3:$A$12,0))</f>
        <v/>
      </c>
      <c r="N158" s="51">
        <f>L158-M158</f>
        <v/>
      </c>
      <c r="O158" s="2" t="n"/>
      <c r="P158" s="2" t="n"/>
    </row>
    <row r="159">
      <c r="A159" s="5" t="inlineStr">
        <is>
          <t>ORD-0108</t>
        </is>
      </c>
      <c r="B159" s="50" t="n">
        <v>46187</v>
      </c>
      <c r="C159" s="5" t="inlineStr">
        <is>
          <t>S05</t>
        </is>
      </c>
      <c r="D159" s="5" t="inlineStr">
        <is>
          <t>Chennai</t>
        </is>
      </c>
      <c r="E159" s="5" t="inlineStr">
        <is>
          <t>P501</t>
        </is>
      </c>
      <c r="F159" s="5" t="inlineStr">
        <is>
          <t>TV</t>
        </is>
      </c>
      <c r="G159" s="5" t="n">
        <v>1</v>
      </c>
      <c r="H159" s="51" t="n">
        <v>32999</v>
      </c>
      <c r="I159" s="62" t="n">
        <v>0</v>
      </c>
      <c r="J159" s="5" t="inlineStr">
        <is>
          <t>Online</t>
        </is>
      </c>
      <c r="K159" s="5" t="inlineStr">
        <is>
          <t>No</t>
        </is>
      </c>
      <c r="L159" s="51">
        <f>G159*H159*(1-I159)</f>
        <v/>
      </c>
      <c r="M159" s="51">
        <f>G159*INDEX(Lookups!$E$3:$E$12,MATCH(E159,Lookups!$A$3:$A$12,0))</f>
        <v/>
      </c>
      <c r="N159" s="51">
        <f>L159-M159</f>
        <v/>
      </c>
      <c r="O159" s="2" t="n"/>
      <c r="P159" s="2" t="n"/>
    </row>
    <row r="160">
      <c r="A160" s="5" t="inlineStr">
        <is>
          <t>ORD-0128</t>
        </is>
      </c>
      <c r="B160" s="50" t="n">
        <v>46188</v>
      </c>
      <c r="C160" s="5" t="inlineStr">
        <is>
          <t>S04</t>
        </is>
      </c>
      <c r="D160" s="5" t="inlineStr">
        <is>
          <t>Bengaluru</t>
        </is>
      </c>
      <c r="E160" s="5" t="inlineStr">
        <is>
          <t>P502</t>
        </is>
      </c>
      <c r="F160" s="5" t="inlineStr">
        <is>
          <t>TV</t>
        </is>
      </c>
      <c r="G160" s="5" t="n">
        <v>3</v>
      </c>
      <c r="H160" s="51" t="n">
        <v>52999</v>
      </c>
      <c r="I160" s="62" t="n">
        <v>0</v>
      </c>
      <c r="J160" s="5" t="inlineStr">
        <is>
          <t>Walk-in</t>
        </is>
      </c>
      <c r="K160" s="5" t="inlineStr">
        <is>
          <t>Yes</t>
        </is>
      </c>
      <c r="L160" s="51">
        <f>G160*H160*(1-I160)</f>
        <v/>
      </c>
      <c r="M160" s="51">
        <f>G160*INDEX(Lookups!$E$3:$E$12,MATCH(E160,Lookups!$A$3:$A$12,0))</f>
        <v/>
      </c>
      <c r="N160" s="51">
        <f>L160-M160</f>
        <v/>
      </c>
      <c r="O160" s="2" t="n"/>
      <c r="P160" s="2" t="n"/>
    </row>
    <row r="161">
      <c r="A161" s="5" t="inlineStr">
        <is>
          <t>ORD-0043</t>
        </is>
      </c>
      <c r="B161" s="50" t="n">
        <v>46189</v>
      </c>
      <c r="C161" s="5" t="inlineStr">
        <is>
          <t>S03</t>
        </is>
      </c>
      <c r="D161" s="5" t="inlineStr">
        <is>
          <t>Delhi</t>
        </is>
      </c>
      <c r="E161" s="5" t="inlineStr">
        <is>
          <t>P501</t>
        </is>
      </c>
      <c r="F161" s="5" t="inlineStr">
        <is>
          <t>TV</t>
        </is>
      </c>
      <c r="G161" s="5" t="n">
        <v>1</v>
      </c>
      <c r="H161" s="51" t="n">
        <v>32999</v>
      </c>
      <c r="I161" s="62" t="n">
        <v>0.1</v>
      </c>
      <c r="J161" s="5" t="inlineStr">
        <is>
          <t>Corporate</t>
        </is>
      </c>
      <c r="K161" s="5" t="inlineStr">
        <is>
          <t>Yes</t>
        </is>
      </c>
      <c r="L161" s="51">
        <f>G161*H161*(1-I161)</f>
        <v/>
      </c>
      <c r="M161" s="51">
        <f>G161*INDEX(Lookups!$E$3:$E$12,MATCH(E161,Lookups!$A$3:$A$12,0))</f>
        <v/>
      </c>
      <c r="N161" s="51">
        <f>L161-M161</f>
        <v/>
      </c>
      <c r="O161" s="2" t="n"/>
      <c r="P161" s="2" t="n"/>
    </row>
    <row r="162">
      <c r="A162" s="5" t="inlineStr">
        <is>
          <t>ORD-0131</t>
        </is>
      </c>
      <c r="B162" s="50" t="n">
        <v>46189</v>
      </c>
      <c r="C162" s="5" t="inlineStr">
        <is>
          <t>S05</t>
        </is>
      </c>
      <c r="D162" s="5" t="inlineStr">
        <is>
          <t>Chennai</t>
        </is>
      </c>
      <c r="E162" s="5" t="inlineStr">
        <is>
          <t>P401</t>
        </is>
      </c>
      <c r="F162" s="5" t="inlineStr">
        <is>
          <t>Accessories</t>
        </is>
      </c>
      <c r="G162" s="5" t="n">
        <v>2</v>
      </c>
      <c r="H162" s="51" t="n">
        <v>1799</v>
      </c>
      <c r="I162" s="62" t="n">
        <v>0</v>
      </c>
      <c r="J162" s="5" t="inlineStr">
        <is>
          <t>Online</t>
        </is>
      </c>
      <c r="K162" s="5" t="inlineStr">
        <is>
          <t>No</t>
        </is>
      </c>
      <c r="L162" s="51">
        <f>G162*H162*(1-I162)</f>
        <v/>
      </c>
      <c r="M162" s="51">
        <f>G162*INDEX(Lookups!$E$3:$E$12,MATCH(E162,Lookups!$A$3:$A$12,0))</f>
        <v/>
      </c>
      <c r="N162" s="51">
        <f>L162-M162</f>
        <v/>
      </c>
      <c r="O162" s="2" t="n"/>
      <c r="P162" s="2" t="n"/>
    </row>
    <row r="163">
      <c r="A163" s="5" t="inlineStr">
        <is>
          <t>ORD-0279</t>
        </is>
      </c>
      <c r="B163" s="50" t="n">
        <v>46189</v>
      </c>
      <c r="C163" s="5" t="inlineStr">
        <is>
          <t>S05</t>
        </is>
      </c>
      <c r="D163" s="5" t="inlineStr">
        <is>
          <t>Chennai</t>
        </is>
      </c>
      <c r="E163" s="5" t="inlineStr">
        <is>
          <t>P402</t>
        </is>
      </c>
      <c r="F163" s="5" t="inlineStr">
        <is>
          <t>Accessories</t>
        </is>
      </c>
      <c r="G163" s="5" t="n">
        <v>3</v>
      </c>
      <c r="H163" s="51" t="n">
        <v>1499</v>
      </c>
      <c r="I163" s="62" t="n">
        <v>0</v>
      </c>
      <c r="J163" s="5" t="inlineStr">
        <is>
          <t>Corporate</t>
        </is>
      </c>
      <c r="K163" s="5" t="inlineStr">
        <is>
          <t>No</t>
        </is>
      </c>
      <c r="L163" s="51">
        <f>G163*H163*(1-I163)</f>
        <v/>
      </c>
      <c r="M163" s="51">
        <f>G163*INDEX(Lookups!$E$3:$E$12,MATCH(E163,Lookups!$A$3:$A$12,0))</f>
        <v/>
      </c>
      <c r="N163" s="51">
        <f>L163-M163</f>
        <v/>
      </c>
      <c r="O163" s="2" t="n"/>
      <c r="P163" s="2" t="n"/>
    </row>
    <row r="164">
      <c r="A164" s="5" t="inlineStr">
        <is>
          <t>ORD-0044</t>
        </is>
      </c>
      <c r="B164" s="50" t="n">
        <v>46190</v>
      </c>
      <c r="C164" s="5" t="inlineStr">
        <is>
          <t>S01</t>
        </is>
      </c>
      <c r="D164" s="5" t="inlineStr">
        <is>
          <t>Mumbai</t>
        </is>
      </c>
      <c r="E164" s="5" t="inlineStr">
        <is>
          <t>P401</t>
        </is>
      </c>
      <c r="F164" s="5" t="inlineStr">
        <is>
          <t>Accessories</t>
        </is>
      </c>
      <c r="G164" s="5" t="n">
        <v>3</v>
      </c>
      <c r="H164" s="51" t="n">
        <v>1799</v>
      </c>
      <c r="I164" s="62" t="n">
        <v>0</v>
      </c>
      <c r="J164" s="5" t="inlineStr">
        <is>
          <t>Corporate</t>
        </is>
      </c>
      <c r="K164" s="5" t="inlineStr">
        <is>
          <t>No</t>
        </is>
      </c>
      <c r="L164" s="51">
        <f>G164*H164*(1-I164)</f>
        <v/>
      </c>
      <c r="M164" s="51">
        <f>G164*INDEX(Lookups!$E$3:$E$12,MATCH(E164,Lookups!$A$3:$A$12,0))</f>
        <v/>
      </c>
      <c r="N164" s="51">
        <f>L164-M164</f>
        <v/>
      </c>
      <c r="O164" s="2" t="n"/>
      <c r="P164" s="2" t="n"/>
    </row>
    <row r="165">
      <c r="A165" s="5" t="inlineStr">
        <is>
          <t>ORD-0061</t>
        </is>
      </c>
      <c r="B165" s="50" t="n">
        <v>46190</v>
      </c>
      <c r="C165" s="5" t="inlineStr">
        <is>
          <t>S03</t>
        </is>
      </c>
      <c r="D165" s="5" t="inlineStr">
        <is>
          <t>Delhi</t>
        </is>
      </c>
      <c r="E165" s="5" t="inlineStr">
        <is>
          <t>P102</t>
        </is>
      </c>
      <c r="F165" s="5" t="inlineStr">
        <is>
          <t>Mobiles</t>
        </is>
      </c>
      <c r="G165" s="5" t="n">
        <v>2</v>
      </c>
      <c r="H165" s="51" t="n">
        <v>32999</v>
      </c>
      <c r="I165" s="62" t="n">
        <v>0</v>
      </c>
      <c r="J165" s="5" t="inlineStr">
        <is>
          <t>Online</t>
        </is>
      </c>
      <c r="K165" s="5" t="inlineStr">
        <is>
          <t>Yes</t>
        </is>
      </c>
      <c r="L165" s="51">
        <f>G165*H165*(1-I165)</f>
        <v/>
      </c>
      <c r="M165" s="51">
        <f>G165*INDEX(Lookups!$E$3:$E$12,MATCH(E165,Lookups!$A$3:$A$12,0))</f>
        <v/>
      </c>
      <c r="N165" s="51">
        <f>L165-M165</f>
        <v/>
      </c>
      <c r="O165" s="2" t="n"/>
      <c r="P165" s="2" t="n"/>
    </row>
    <row r="166">
      <c r="A166" s="5" t="inlineStr">
        <is>
          <t>ORD-0066</t>
        </is>
      </c>
      <c r="B166" s="50" t="n">
        <v>46190</v>
      </c>
      <c r="C166" s="5" t="inlineStr">
        <is>
          <t>S06</t>
        </is>
      </c>
      <c r="D166" s="5" t="inlineStr">
        <is>
          <t>Gurugram</t>
        </is>
      </c>
      <c r="E166" s="5" t="inlineStr">
        <is>
          <t>P301</t>
        </is>
      </c>
      <c r="F166" s="5" t="inlineStr">
        <is>
          <t>Audio</t>
        </is>
      </c>
      <c r="G166" s="5" t="n">
        <v>1</v>
      </c>
      <c r="H166" s="51" t="n">
        <v>2999</v>
      </c>
      <c r="I166" s="62" t="n">
        <v>0</v>
      </c>
      <c r="J166" s="5" t="inlineStr">
        <is>
          <t>Corporate</t>
        </is>
      </c>
      <c r="K166" s="5" t="inlineStr">
        <is>
          <t>Yes</t>
        </is>
      </c>
      <c r="L166" s="51">
        <f>G166*H166*(1-I166)</f>
        <v/>
      </c>
      <c r="M166" s="51">
        <f>G166*INDEX(Lookups!$E$3:$E$12,MATCH(E166,Lookups!$A$3:$A$12,0))</f>
        <v/>
      </c>
      <c r="N166" s="51">
        <f>L166-M166</f>
        <v/>
      </c>
      <c r="O166" s="2" t="n"/>
      <c r="P166" s="2" t="n"/>
    </row>
    <row r="167">
      <c r="A167" s="5" t="inlineStr">
        <is>
          <t>ORD-0269</t>
        </is>
      </c>
      <c r="B167" s="50" t="n">
        <v>46190</v>
      </c>
      <c r="C167" s="5" t="inlineStr">
        <is>
          <t>S01</t>
        </is>
      </c>
      <c r="D167" s="5" t="inlineStr">
        <is>
          <t>Mumbai</t>
        </is>
      </c>
      <c r="E167" s="5" t="inlineStr">
        <is>
          <t>P102</t>
        </is>
      </c>
      <c r="F167" s="5" t="inlineStr">
        <is>
          <t>Mobiles</t>
        </is>
      </c>
      <c r="G167" s="5" t="n">
        <v>1</v>
      </c>
      <c r="H167" s="51" t="n">
        <v>32999</v>
      </c>
      <c r="I167" s="62" t="n">
        <v>0</v>
      </c>
      <c r="J167" s="5" t="inlineStr">
        <is>
          <t>Walk-in</t>
        </is>
      </c>
      <c r="K167" s="5" t="inlineStr">
        <is>
          <t>Yes</t>
        </is>
      </c>
      <c r="L167" s="51">
        <f>G167*H167*(1-I167)</f>
        <v/>
      </c>
      <c r="M167" s="51">
        <f>G167*INDEX(Lookups!$E$3:$E$12,MATCH(E167,Lookups!$A$3:$A$12,0))</f>
        <v/>
      </c>
      <c r="N167" s="51">
        <f>L167-M167</f>
        <v/>
      </c>
      <c r="O167" s="2" t="n"/>
      <c r="P167" s="2" t="n"/>
    </row>
    <row r="168">
      <c r="A168" s="5" t="inlineStr">
        <is>
          <t>ORD-0067</t>
        </is>
      </c>
      <c r="B168" s="50" t="n">
        <v>46191</v>
      </c>
      <c r="C168" s="5" t="inlineStr">
        <is>
          <t>S05</t>
        </is>
      </c>
      <c r="D168" s="5" t="inlineStr">
        <is>
          <t>Chennai</t>
        </is>
      </c>
      <c r="E168" s="5" t="inlineStr">
        <is>
          <t>P501</t>
        </is>
      </c>
      <c r="F168" s="5" t="inlineStr">
        <is>
          <t>TV</t>
        </is>
      </c>
      <c r="G168" s="5" t="n">
        <v>1</v>
      </c>
      <c r="H168" s="51" t="n">
        <v>32999</v>
      </c>
      <c r="I168" s="62" t="n">
        <v>0.1</v>
      </c>
      <c r="J168" s="5" t="inlineStr">
        <is>
          <t>Online</t>
        </is>
      </c>
      <c r="K168" s="5" t="inlineStr">
        <is>
          <t>Yes</t>
        </is>
      </c>
      <c r="L168" s="51">
        <f>G168*H168*(1-I168)</f>
        <v/>
      </c>
      <c r="M168" s="51">
        <f>G168*INDEX(Lookups!$E$3:$E$12,MATCH(E168,Lookups!$A$3:$A$12,0))</f>
        <v/>
      </c>
      <c r="N168" s="51">
        <f>L168-M168</f>
        <v/>
      </c>
      <c r="O168" s="2" t="n"/>
      <c r="P168" s="2" t="n"/>
    </row>
    <row r="169">
      <c r="A169" s="5" t="inlineStr">
        <is>
          <t>ORD-0291</t>
        </is>
      </c>
      <c r="B169" s="50" t="n">
        <v>46191</v>
      </c>
      <c r="C169" s="5" t="inlineStr">
        <is>
          <t>S05</t>
        </is>
      </c>
      <c r="D169" s="5" t="inlineStr">
        <is>
          <t>Chennai</t>
        </is>
      </c>
      <c r="E169" s="5" t="inlineStr">
        <is>
          <t>P501</t>
        </is>
      </c>
      <c r="F169" s="5" t="inlineStr">
        <is>
          <t>TV</t>
        </is>
      </c>
      <c r="G169" s="5" t="n">
        <v>1</v>
      </c>
      <c r="H169" s="51" t="n">
        <v>32999</v>
      </c>
      <c r="I169" s="62" t="n">
        <v>0.05</v>
      </c>
      <c r="J169" s="5" t="inlineStr">
        <is>
          <t>Corporate</t>
        </is>
      </c>
      <c r="K169" s="5" t="inlineStr">
        <is>
          <t>No</t>
        </is>
      </c>
      <c r="L169" s="51">
        <f>G169*H169*(1-I169)</f>
        <v/>
      </c>
      <c r="M169" s="51">
        <f>G169*INDEX(Lookups!$E$3:$E$12,MATCH(E169,Lookups!$A$3:$A$12,0))</f>
        <v/>
      </c>
      <c r="N169" s="51">
        <f>L169-M169</f>
        <v/>
      </c>
      <c r="O169" s="2" t="n"/>
      <c r="P169" s="2" t="n"/>
    </row>
    <row r="170">
      <c r="A170" s="5" t="inlineStr">
        <is>
          <t>ORD-0020</t>
        </is>
      </c>
      <c r="B170" s="50" t="n">
        <v>46193</v>
      </c>
      <c r="C170" s="5" t="inlineStr">
        <is>
          <t>S04</t>
        </is>
      </c>
      <c r="D170" s="5" t="inlineStr">
        <is>
          <t>Bengaluru</t>
        </is>
      </c>
      <c r="E170" s="5" t="inlineStr">
        <is>
          <t>P301</t>
        </is>
      </c>
      <c r="F170" s="5" t="inlineStr">
        <is>
          <t>Audio</t>
        </is>
      </c>
      <c r="G170" s="5" t="n">
        <v>1</v>
      </c>
      <c r="H170" s="51" t="n">
        <v>2999</v>
      </c>
      <c r="I170" s="62" t="n">
        <v>0</v>
      </c>
      <c r="J170" s="5" t="inlineStr">
        <is>
          <t>Corporate</t>
        </is>
      </c>
      <c r="K170" s="5" t="inlineStr">
        <is>
          <t>Yes</t>
        </is>
      </c>
      <c r="L170" s="51">
        <f>G170*H170*(1-I170)</f>
        <v/>
      </c>
      <c r="M170" s="51">
        <f>G170*INDEX(Lookups!$E$3:$E$12,MATCH(E170,Lookups!$A$3:$A$12,0))</f>
        <v/>
      </c>
      <c r="N170" s="51">
        <f>L170-M170</f>
        <v/>
      </c>
      <c r="O170" s="2" t="n"/>
      <c r="P170" s="2" t="n"/>
    </row>
    <row r="171">
      <c r="A171" s="5" t="inlineStr">
        <is>
          <t>ORD-0399</t>
        </is>
      </c>
      <c r="B171" s="50" t="n">
        <v>46193</v>
      </c>
      <c r="C171" s="5" t="inlineStr">
        <is>
          <t>S04</t>
        </is>
      </c>
      <c r="D171" s="5" t="inlineStr">
        <is>
          <t>Bengaluru</t>
        </is>
      </c>
      <c r="E171" s="5" t="inlineStr">
        <is>
          <t>P402</t>
        </is>
      </c>
      <c r="F171" s="5" t="inlineStr">
        <is>
          <t>Accessories</t>
        </is>
      </c>
      <c r="G171" s="5" t="n">
        <v>3</v>
      </c>
      <c r="H171" s="51" t="n">
        <v>1499</v>
      </c>
      <c r="I171" s="62" t="n">
        <v>0</v>
      </c>
      <c r="J171" s="5" t="inlineStr">
        <is>
          <t>Online</t>
        </is>
      </c>
      <c r="K171" s="5" t="inlineStr">
        <is>
          <t>No</t>
        </is>
      </c>
      <c r="L171" s="51">
        <f>G171*H171*(1-I171)</f>
        <v/>
      </c>
      <c r="M171" s="51">
        <f>G171*INDEX(Lookups!$E$3:$E$12,MATCH(E171,Lookups!$A$3:$A$12,0))</f>
        <v/>
      </c>
      <c r="N171" s="51">
        <f>L171-M171</f>
        <v/>
      </c>
      <c r="O171" s="2" t="n"/>
      <c r="P171" s="2" t="n"/>
    </row>
    <row r="172">
      <c r="A172" s="5" t="inlineStr">
        <is>
          <t>ORD-0224</t>
        </is>
      </c>
      <c r="B172" s="50" t="n">
        <v>46194</v>
      </c>
      <c r="C172" s="5" t="inlineStr">
        <is>
          <t>S03</t>
        </is>
      </c>
      <c r="D172" s="5" t="inlineStr">
        <is>
          <t>Delhi</t>
        </is>
      </c>
      <c r="E172" s="5" t="inlineStr">
        <is>
          <t>P301</t>
        </is>
      </c>
      <c r="F172" s="5" t="inlineStr">
        <is>
          <t>Audio</t>
        </is>
      </c>
      <c r="G172" s="5" t="n">
        <v>1</v>
      </c>
      <c r="H172" s="51" t="n">
        <v>2999</v>
      </c>
      <c r="I172" s="62" t="n">
        <v>0.05</v>
      </c>
      <c r="J172" s="5" t="inlineStr">
        <is>
          <t>Corporate</t>
        </is>
      </c>
      <c r="K172" s="5" t="inlineStr">
        <is>
          <t>Yes</t>
        </is>
      </c>
      <c r="L172" s="51">
        <f>G172*H172*(1-I172)</f>
        <v/>
      </c>
      <c r="M172" s="51">
        <f>G172*INDEX(Lookups!$E$3:$E$12,MATCH(E172,Lookups!$A$3:$A$12,0))</f>
        <v/>
      </c>
      <c r="N172" s="51">
        <f>L172-M172</f>
        <v/>
      </c>
      <c r="O172" s="2" t="n"/>
      <c r="P172" s="2" t="n"/>
    </row>
    <row r="173">
      <c r="A173" s="5" t="inlineStr">
        <is>
          <t>ORD-0328</t>
        </is>
      </c>
      <c r="B173" s="50" t="n">
        <v>46194</v>
      </c>
      <c r="C173" s="5" t="inlineStr">
        <is>
          <t>S02</t>
        </is>
      </c>
      <c r="D173" s="5" t="inlineStr">
        <is>
          <t>Pune</t>
        </is>
      </c>
      <c r="E173" s="5" t="inlineStr">
        <is>
          <t>P501</t>
        </is>
      </c>
      <c r="F173" s="5" t="inlineStr">
        <is>
          <t>TV</t>
        </is>
      </c>
      <c r="G173" s="5" t="n">
        <v>1</v>
      </c>
      <c r="H173" s="51" t="n">
        <v>32999</v>
      </c>
      <c r="I173" s="62" t="n">
        <v>0</v>
      </c>
      <c r="J173" s="5" t="inlineStr">
        <is>
          <t>Online</t>
        </is>
      </c>
      <c r="K173" s="5" t="inlineStr">
        <is>
          <t>No</t>
        </is>
      </c>
      <c r="L173" s="51">
        <f>G173*H173*(1-I173)</f>
        <v/>
      </c>
      <c r="M173" s="51">
        <f>G173*INDEX(Lookups!$E$3:$E$12,MATCH(E173,Lookups!$A$3:$A$12,0))</f>
        <v/>
      </c>
      <c r="N173" s="51">
        <f>L173-M173</f>
        <v/>
      </c>
      <c r="O173" s="2" t="n"/>
      <c r="P173" s="2" t="n"/>
    </row>
    <row r="174">
      <c r="A174" s="5" t="inlineStr">
        <is>
          <t>ORD-0333</t>
        </is>
      </c>
      <c r="B174" s="50" t="n">
        <v>46194</v>
      </c>
      <c r="C174" s="5" t="inlineStr">
        <is>
          <t>S05</t>
        </is>
      </c>
      <c r="D174" s="5" t="inlineStr">
        <is>
          <t>Chennai</t>
        </is>
      </c>
      <c r="E174" s="5" t="inlineStr">
        <is>
          <t>P402</t>
        </is>
      </c>
      <c r="F174" s="5" t="inlineStr">
        <is>
          <t>Accessories</t>
        </is>
      </c>
      <c r="G174" s="5" t="n">
        <v>1</v>
      </c>
      <c r="H174" s="51" t="n">
        <v>1499</v>
      </c>
      <c r="I174" s="62" t="n">
        <v>0</v>
      </c>
      <c r="J174" s="5" t="inlineStr">
        <is>
          <t>Corporate</t>
        </is>
      </c>
      <c r="K174" s="5" t="inlineStr">
        <is>
          <t>Yes</t>
        </is>
      </c>
      <c r="L174" s="51">
        <f>G174*H174*(1-I174)</f>
        <v/>
      </c>
      <c r="M174" s="51">
        <f>G174*INDEX(Lookups!$E$3:$E$12,MATCH(E174,Lookups!$A$3:$A$12,0))</f>
        <v/>
      </c>
      <c r="N174" s="51">
        <f>L174-M174</f>
        <v/>
      </c>
      <c r="O174" s="2" t="n"/>
      <c r="P174" s="2" t="n"/>
    </row>
    <row r="175">
      <c r="A175" s="5" t="inlineStr">
        <is>
          <t>ORD-0382</t>
        </is>
      </c>
      <c r="B175" s="50" t="n">
        <v>46194</v>
      </c>
      <c r="C175" s="5" t="inlineStr">
        <is>
          <t>S03</t>
        </is>
      </c>
      <c r="D175" s="5" t="inlineStr">
        <is>
          <t>Delhi</t>
        </is>
      </c>
      <c r="E175" s="5" t="inlineStr">
        <is>
          <t>P402</t>
        </is>
      </c>
      <c r="F175" s="5" t="inlineStr">
        <is>
          <t>Accessories</t>
        </is>
      </c>
      <c r="G175" s="5" t="n">
        <v>1</v>
      </c>
      <c r="H175" s="51" t="n">
        <v>1499</v>
      </c>
      <c r="I175" s="62" t="n">
        <v>0</v>
      </c>
      <c r="J175" s="5" t="inlineStr">
        <is>
          <t>Online</t>
        </is>
      </c>
      <c r="K175" s="5" t="inlineStr">
        <is>
          <t>No</t>
        </is>
      </c>
      <c r="L175" s="51">
        <f>G175*H175*(1-I175)</f>
        <v/>
      </c>
      <c r="M175" s="51">
        <f>G175*INDEX(Lookups!$E$3:$E$12,MATCH(E175,Lookups!$A$3:$A$12,0))</f>
        <v/>
      </c>
      <c r="N175" s="51">
        <f>L175-M175</f>
        <v/>
      </c>
      <c r="O175" s="2" t="n"/>
      <c r="P175" s="2" t="n"/>
    </row>
    <row r="176">
      <c r="A176" s="5" t="inlineStr">
        <is>
          <t>ORD-0109</t>
        </is>
      </c>
      <c r="B176" s="50" t="n">
        <v>46195</v>
      </c>
      <c r="C176" s="5" t="inlineStr">
        <is>
          <t>S01</t>
        </is>
      </c>
      <c r="D176" s="5" t="inlineStr">
        <is>
          <t>Mumbai</t>
        </is>
      </c>
      <c r="E176" s="5" t="inlineStr">
        <is>
          <t>P301</t>
        </is>
      </c>
      <c r="F176" s="5" t="inlineStr">
        <is>
          <t>Audio</t>
        </is>
      </c>
      <c r="G176" s="5" t="n">
        <v>1</v>
      </c>
      <c r="H176" s="51" t="n">
        <v>2999</v>
      </c>
      <c r="I176" s="62" t="n">
        <v>0</v>
      </c>
      <c r="J176" s="5" t="inlineStr">
        <is>
          <t>Walk-in</t>
        </is>
      </c>
      <c r="K176" s="5" t="inlineStr">
        <is>
          <t>No</t>
        </is>
      </c>
      <c r="L176" s="51">
        <f>G176*H176*(1-I176)</f>
        <v/>
      </c>
      <c r="M176" s="51">
        <f>G176*INDEX(Lookups!$E$3:$E$12,MATCH(E176,Lookups!$A$3:$A$12,0))</f>
        <v/>
      </c>
      <c r="N176" s="51">
        <f>L176-M176</f>
        <v/>
      </c>
      <c r="O176" s="2" t="n"/>
      <c r="P176" s="2" t="n"/>
    </row>
    <row r="177">
      <c r="A177" s="5" t="inlineStr">
        <is>
          <t>ORD-0156</t>
        </is>
      </c>
      <c r="B177" s="50" t="n">
        <v>46195</v>
      </c>
      <c r="C177" s="5" t="inlineStr">
        <is>
          <t>S01</t>
        </is>
      </c>
      <c r="D177" s="5" t="inlineStr">
        <is>
          <t>Mumbai</t>
        </is>
      </c>
      <c r="E177" s="5" t="inlineStr">
        <is>
          <t>P401</t>
        </is>
      </c>
      <c r="F177" s="5" t="inlineStr">
        <is>
          <t>Accessories</t>
        </is>
      </c>
      <c r="G177" s="5" t="n">
        <v>1</v>
      </c>
      <c r="H177" s="51" t="n">
        <v>1799</v>
      </c>
      <c r="I177" s="62" t="n">
        <v>0</v>
      </c>
      <c r="J177" s="5" t="inlineStr">
        <is>
          <t>Corporate</t>
        </is>
      </c>
      <c r="K177" s="5" t="inlineStr">
        <is>
          <t>Yes</t>
        </is>
      </c>
      <c r="L177" s="51">
        <f>G177*H177*(1-I177)</f>
        <v/>
      </c>
      <c r="M177" s="51">
        <f>G177*INDEX(Lookups!$E$3:$E$12,MATCH(E177,Lookups!$A$3:$A$12,0))</f>
        <v/>
      </c>
      <c r="N177" s="51">
        <f>L177-M177</f>
        <v/>
      </c>
      <c r="O177" s="2" t="n"/>
      <c r="P177" s="2" t="n"/>
    </row>
    <row r="178">
      <c r="A178" s="5" t="inlineStr">
        <is>
          <t>ORD-0392</t>
        </is>
      </c>
      <c r="B178" s="50" t="n">
        <v>46196</v>
      </c>
      <c r="C178" s="5" t="inlineStr">
        <is>
          <t>S02</t>
        </is>
      </c>
      <c r="D178" s="5" t="inlineStr">
        <is>
          <t>Pune</t>
        </is>
      </c>
      <c r="E178" s="5" t="inlineStr">
        <is>
          <t>P101</t>
        </is>
      </c>
      <c r="F178" s="5" t="inlineStr">
        <is>
          <t>Mobiles</t>
        </is>
      </c>
      <c r="G178" s="5" t="n">
        <v>2</v>
      </c>
      <c r="H178" s="51" t="n">
        <v>18999</v>
      </c>
      <c r="I178" s="62" t="n">
        <v>0</v>
      </c>
      <c r="J178" s="5" t="inlineStr">
        <is>
          <t>Walk-in</t>
        </is>
      </c>
      <c r="K178" s="5" t="inlineStr">
        <is>
          <t>No</t>
        </is>
      </c>
      <c r="L178" s="51">
        <f>G178*H178*(1-I178)</f>
        <v/>
      </c>
      <c r="M178" s="51">
        <f>G178*INDEX(Lookups!$E$3:$E$12,MATCH(E178,Lookups!$A$3:$A$12,0))</f>
        <v/>
      </c>
      <c r="N178" s="51">
        <f>L178-M178</f>
        <v/>
      </c>
      <c r="O178" s="2" t="n"/>
      <c r="P178" s="2" t="n"/>
    </row>
    <row r="179">
      <c r="A179" s="5" t="inlineStr">
        <is>
          <t>ORD-0183</t>
        </is>
      </c>
      <c r="B179" s="50" t="n">
        <v>46197</v>
      </c>
      <c r="C179" s="5" t="inlineStr">
        <is>
          <t>S06</t>
        </is>
      </c>
      <c r="D179" s="5" t="inlineStr">
        <is>
          <t>Gurugram</t>
        </is>
      </c>
      <c r="E179" s="5" t="inlineStr">
        <is>
          <t>P302</t>
        </is>
      </c>
      <c r="F179" s="5" t="inlineStr">
        <is>
          <t>Audio</t>
        </is>
      </c>
      <c r="G179" s="5" t="n">
        <v>1</v>
      </c>
      <c r="H179" s="51" t="n">
        <v>4499</v>
      </c>
      <c r="I179" s="62" t="n">
        <v>0</v>
      </c>
      <c r="J179" s="5" t="inlineStr">
        <is>
          <t>Walk-in</t>
        </is>
      </c>
      <c r="K179" s="5" t="inlineStr">
        <is>
          <t>No</t>
        </is>
      </c>
      <c r="L179" s="51">
        <f>G179*H179*(1-I179)</f>
        <v/>
      </c>
      <c r="M179" s="51">
        <f>G179*INDEX(Lookups!$E$3:$E$12,MATCH(E179,Lookups!$A$3:$A$12,0))</f>
        <v/>
      </c>
      <c r="N179" s="51">
        <f>L179-M179</f>
        <v/>
      </c>
      <c r="O179" s="2" t="n"/>
      <c r="P179" s="2" t="n"/>
    </row>
    <row r="180">
      <c r="A180" s="5" t="inlineStr">
        <is>
          <t>ORD-0390</t>
        </is>
      </c>
      <c r="B180" s="50" t="n">
        <v>46197</v>
      </c>
      <c r="C180" s="5" t="inlineStr">
        <is>
          <t>S06</t>
        </is>
      </c>
      <c r="D180" s="5" t="inlineStr">
        <is>
          <t>Gurugram</t>
        </is>
      </c>
      <c r="E180" s="5" t="inlineStr">
        <is>
          <t>P202</t>
        </is>
      </c>
      <c r="F180" s="5" t="inlineStr">
        <is>
          <t>Laptops</t>
        </is>
      </c>
      <c r="G180" s="5" t="n">
        <v>1</v>
      </c>
      <c r="H180" s="51" t="n">
        <v>94999</v>
      </c>
      <c r="I180" s="62" t="n">
        <v>0</v>
      </c>
      <c r="J180" s="5" t="inlineStr">
        <is>
          <t>Online</t>
        </is>
      </c>
      <c r="K180" s="5" t="inlineStr">
        <is>
          <t>No</t>
        </is>
      </c>
      <c r="L180" s="51">
        <f>G180*H180*(1-I180)</f>
        <v/>
      </c>
      <c r="M180" s="51">
        <f>G180*INDEX(Lookups!$E$3:$E$12,MATCH(E180,Lookups!$A$3:$A$12,0))</f>
        <v/>
      </c>
      <c r="N180" s="51">
        <f>L180-M180</f>
        <v/>
      </c>
      <c r="O180" s="2" t="n"/>
      <c r="P180" s="2" t="n"/>
    </row>
    <row r="181">
      <c r="A181" s="5" t="inlineStr">
        <is>
          <t>ORD-0192</t>
        </is>
      </c>
      <c r="B181" s="50" t="n">
        <v>46198</v>
      </c>
      <c r="C181" s="5" t="inlineStr">
        <is>
          <t>S02</t>
        </is>
      </c>
      <c r="D181" s="5" t="inlineStr">
        <is>
          <t>Pune</t>
        </is>
      </c>
      <c r="E181" s="5" t="inlineStr">
        <is>
          <t>P101</t>
        </is>
      </c>
      <c r="F181" s="5" t="inlineStr">
        <is>
          <t>Mobiles</t>
        </is>
      </c>
      <c r="G181" s="5" t="n">
        <v>1</v>
      </c>
      <c r="H181" s="51" t="n">
        <v>18999</v>
      </c>
      <c r="I181" s="62" t="n">
        <v>0</v>
      </c>
      <c r="J181" s="5" t="inlineStr">
        <is>
          <t>Online</t>
        </is>
      </c>
      <c r="K181" s="5" t="inlineStr">
        <is>
          <t>No</t>
        </is>
      </c>
      <c r="L181" s="51">
        <f>G181*H181*(1-I181)</f>
        <v/>
      </c>
      <c r="M181" s="51">
        <f>G181*INDEX(Lookups!$E$3:$E$12,MATCH(E181,Lookups!$A$3:$A$12,0))</f>
        <v/>
      </c>
      <c r="N181" s="51">
        <f>L181-M181</f>
        <v/>
      </c>
      <c r="O181" s="2" t="n"/>
      <c r="P181" s="2" t="n"/>
    </row>
    <row r="182">
      <c r="A182" s="5" t="inlineStr">
        <is>
          <t>ORD-0140</t>
        </is>
      </c>
      <c r="B182" s="50" t="n">
        <v>46199</v>
      </c>
      <c r="C182" s="5" t="inlineStr">
        <is>
          <t>S01</t>
        </is>
      </c>
      <c r="D182" s="5" t="inlineStr">
        <is>
          <t>Mumbai</t>
        </is>
      </c>
      <c r="E182" s="5" t="inlineStr">
        <is>
          <t>P302</t>
        </is>
      </c>
      <c r="F182" s="5" t="inlineStr">
        <is>
          <t>Audio</t>
        </is>
      </c>
      <c r="G182" s="5" t="n">
        <v>1</v>
      </c>
      <c r="H182" s="51" t="n">
        <v>4499</v>
      </c>
      <c r="I182" s="62" t="n">
        <v>0.05</v>
      </c>
      <c r="J182" s="5" t="inlineStr">
        <is>
          <t>Walk-in</t>
        </is>
      </c>
      <c r="K182" s="5" t="inlineStr">
        <is>
          <t>Yes</t>
        </is>
      </c>
      <c r="L182" s="51">
        <f>G182*H182*(1-I182)</f>
        <v/>
      </c>
      <c r="M182" s="51">
        <f>G182*INDEX(Lookups!$E$3:$E$12,MATCH(E182,Lookups!$A$3:$A$12,0))</f>
        <v/>
      </c>
      <c r="N182" s="51">
        <f>L182-M182</f>
        <v/>
      </c>
      <c r="O182" s="2" t="n"/>
      <c r="P182" s="2" t="n"/>
    </row>
    <row r="183">
      <c r="A183" s="5" t="inlineStr">
        <is>
          <t>ORD-0060</t>
        </is>
      </c>
      <c r="B183" s="50" t="n">
        <v>46200</v>
      </c>
      <c r="C183" s="5" t="inlineStr">
        <is>
          <t>S05</t>
        </is>
      </c>
      <c r="D183" s="5" t="inlineStr">
        <is>
          <t>Chennai</t>
        </is>
      </c>
      <c r="E183" s="5" t="inlineStr">
        <is>
          <t>P502</t>
        </is>
      </c>
      <c r="F183" s="5" t="inlineStr">
        <is>
          <t>TV</t>
        </is>
      </c>
      <c r="G183" s="5" t="n">
        <v>2</v>
      </c>
      <c r="H183" s="51" t="n">
        <v>52999</v>
      </c>
      <c r="I183" s="62" t="n">
        <v>0</v>
      </c>
      <c r="J183" s="5" t="inlineStr">
        <is>
          <t>Walk-in</t>
        </is>
      </c>
      <c r="K183" s="5" t="inlineStr">
        <is>
          <t>No</t>
        </is>
      </c>
      <c r="L183" s="51">
        <f>G183*H183*(1-I183)</f>
        <v/>
      </c>
      <c r="M183" s="51">
        <f>G183*INDEX(Lookups!$E$3:$E$12,MATCH(E183,Lookups!$A$3:$A$12,0))</f>
        <v/>
      </c>
      <c r="N183" s="51">
        <f>L183-M183</f>
        <v/>
      </c>
      <c r="O183" s="2" t="n"/>
      <c r="P183" s="2" t="n"/>
    </row>
    <row r="184">
      <c r="A184" s="5" t="inlineStr">
        <is>
          <t>ORD-0113</t>
        </is>
      </c>
      <c r="B184" s="50" t="n">
        <v>46200</v>
      </c>
      <c r="C184" s="5" t="inlineStr">
        <is>
          <t>S04</t>
        </is>
      </c>
      <c r="D184" s="5" t="inlineStr">
        <is>
          <t>Bengaluru</t>
        </is>
      </c>
      <c r="E184" s="5" t="inlineStr">
        <is>
          <t>P201</t>
        </is>
      </c>
      <c r="F184" s="5" t="inlineStr">
        <is>
          <t>Laptops</t>
        </is>
      </c>
      <c r="G184" s="5" t="n">
        <v>1</v>
      </c>
      <c r="H184" s="51" t="n">
        <v>54999</v>
      </c>
      <c r="I184" s="62" t="n">
        <v>0</v>
      </c>
      <c r="J184" s="5" t="inlineStr">
        <is>
          <t>Online</t>
        </is>
      </c>
      <c r="K184" s="5" t="inlineStr">
        <is>
          <t>Yes</t>
        </is>
      </c>
      <c r="L184" s="51">
        <f>G184*H184*(1-I184)</f>
        <v/>
      </c>
      <c r="M184" s="51">
        <f>G184*INDEX(Lookups!$E$3:$E$12,MATCH(E184,Lookups!$A$3:$A$12,0))</f>
        <v/>
      </c>
      <c r="N184" s="51">
        <f>L184-M184</f>
        <v/>
      </c>
      <c r="O184" s="2" t="n"/>
      <c r="P184" s="2" t="n"/>
    </row>
    <row r="185">
      <c r="A185" s="5" t="inlineStr">
        <is>
          <t>ORD-0098</t>
        </is>
      </c>
      <c r="B185" s="50" t="n">
        <v>46202</v>
      </c>
      <c r="C185" s="5" t="inlineStr">
        <is>
          <t>S05</t>
        </is>
      </c>
      <c r="D185" s="5" t="inlineStr">
        <is>
          <t>Chennai</t>
        </is>
      </c>
      <c r="E185" s="5" t="inlineStr">
        <is>
          <t>P402</t>
        </is>
      </c>
      <c r="F185" s="5" t="inlineStr">
        <is>
          <t>Accessories</t>
        </is>
      </c>
      <c r="G185" s="5" t="n">
        <v>2</v>
      </c>
      <c r="H185" s="51" t="n">
        <v>1499</v>
      </c>
      <c r="I185" s="62" t="n">
        <v>0.05</v>
      </c>
      <c r="J185" s="5" t="inlineStr">
        <is>
          <t>Walk-in</t>
        </is>
      </c>
      <c r="K185" s="5" t="inlineStr">
        <is>
          <t>No</t>
        </is>
      </c>
      <c r="L185" s="51">
        <f>G185*H185*(1-I185)</f>
        <v/>
      </c>
      <c r="M185" s="51">
        <f>G185*INDEX(Lookups!$E$3:$E$12,MATCH(E185,Lookups!$A$3:$A$12,0))</f>
        <v/>
      </c>
      <c r="N185" s="51">
        <f>L185-M185</f>
        <v/>
      </c>
      <c r="O185" s="2" t="n"/>
      <c r="P185" s="2" t="n"/>
    </row>
    <row r="186">
      <c r="A186" s="5" t="inlineStr">
        <is>
          <t>ORD-0295</t>
        </is>
      </c>
      <c r="B186" s="50" t="n">
        <v>46202</v>
      </c>
      <c r="C186" s="5" t="inlineStr">
        <is>
          <t>S05</t>
        </is>
      </c>
      <c r="D186" s="5" t="inlineStr">
        <is>
          <t>Chennai</t>
        </is>
      </c>
      <c r="E186" s="5" t="inlineStr">
        <is>
          <t>P501</t>
        </is>
      </c>
      <c r="F186" s="5" t="inlineStr">
        <is>
          <t>TV</t>
        </is>
      </c>
      <c r="G186" s="5" t="n">
        <v>1</v>
      </c>
      <c r="H186" s="51" t="n">
        <v>32999</v>
      </c>
      <c r="I186" s="62" t="n">
        <v>0.05</v>
      </c>
      <c r="J186" s="5" t="inlineStr">
        <is>
          <t>Walk-in</t>
        </is>
      </c>
      <c r="K186" s="5" t="inlineStr">
        <is>
          <t>No</t>
        </is>
      </c>
      <c r="L186" s="51">
        <f>G186*H186*(1-I186)</f>
        <v/>
      </c>
      <c r="M186" s="51">
        <f>G186*INDEX(Lookups!$E$3:$E$12,MATCH(E186,Lookups!$A$3:$A$12,0))</f>
        <v/>
      </c>
      <c r="N186" s="51">
        <f>L186-M186</f>
        <v/>
      </c>
      <c r="O186" s="2" t="n"/>
      <c r="P186" s="2" t="n"/>
    </row>
    <row r="187">
      <c r="A187" s="5" t="inlineStr">
        <is>
          <t>ORD-0064</t>
        </is>
      </c>
      <c r="B187" s="50" t="n">
        <v>46203</v>
      </c>
      <c r="C187" s="5" t="inlineStr">
        <is>
          <t>S04</t>
        </is>
      </c>
      <c r="D187" s="5" t="inlineStr">
        <is>
          <t>Bengaluru</t>
        </is>
      </c>
      <c r="E187" s="5" t="inlineStr">
        <is>
          <t>P101</t>
        </is>
      </c>
      <c r="F187" s="5" t="inlineStr">
        <is>
          <t>Mobiles</t>
        </is>
      </c>
      <c r="G187" s="5" t="n">
        <v>1</v>
      </c>
      <c r="H187" s="51" t="n">
        <v>18999</v>
      </c>
      <c r="I187" s="62" t="n">
        <v>0</v>
      </c>
      <c r="J187" s="5" t="inlineStr">
        <is>
          <t>Walk-in</t>
        </is>
      </c>
      <c r="K187" s="5" t="inlineStr">
        <is>
          <t>No</t>
        </is>
      </c>
      <c r="L187" s="51">
        <f>G187*H187*(1-I187)</f>
        <v/>
      </c>
      <c r="M187" s="51">
        <f>G187*INDEX(Lookups!$E$3:$E$12,MATCH(E187,Lookups!$A$3:$A$12,0))</f>
        <v/>
      </c>
      <c r="N187" s="51">
        <f>L187-M187</f>
        <v/>
      </c>
      <c r="O187" s="2" t="n"/>
      <c r="P187" s="2" t="n"/>
    </row>
    <row r="188">
      <c r="A188" s="5" t="inlineStr">
        <is>
          <t>ORD-0047</t>
        </is>
      </c>
      <c r="B188" s="50" t="n">
        <v>46205</v>
      </c>
      <c r="C188" s="5" t="inlineStr">
        <is>
          <t>S01</t>
        </is>
      </c>
      <c r="D188" s="5" t="inlineStr">
        <is>
          <t>Mumbai</t>
        </is>
      </c>
      <c r="E188" s="5" t="inlineStr">
        <is>
          <t>P502</t>
        </is>
      </c>
      <c r="F188" s="5" t="inlineStr">
        <is>
          <t>TV</t>
        </is>
      </c>
      <c r="G188" s="5" t="n">
        <v>4</v>
      </c>
      <c r="H188" s="51" t="n">
        <v>52999</v>
      </c>
      <c r="I188" s="62" t="n">
        <v>0</v>
      </c>
      <c r="J188" s="5" t="inlineStr">
        <is>
          <t>Corporate</t>
        </is>
      </c>
      <c r="K188" s="5" t="inlineStr">
        <is>
          <t>Yes</t>
        </is>
      </c>
      <c r="L188" s="51">
        <f>G188*H188*(1-I188)</f>
        <v/>
      </c>
      <c r="M188" s="51">
        <f>G188*INDEX(Lookups!$E$3:$E$12,MATCH(E188,Lookups!$A$3:$A$12,0))</f>
        <v/>
      </c>
      <c r="N188" s="51">
        <f>L188-M188</f>
        <v/>
      </c>
      <c r="O188" s="2" t="n"/>
      <c r="P188" s="2" t="n"/>
    </row>
    <row r="189">
      <c r="A189" s="5" t="inlineStr">
        <is>
          <t>ORD-0150</t>
        </is>
      </c>
      <c r="B189" s="50" t="n">
        <v>46205</v>
      </c>
      <c r="C189" s="5" t="inlineStr">
        <is>
          <t>S06</t>
        </is>
      </c>
      <c r="D189" s="5" t="inlineStr">
        <is>
          <t>Gurugram</t>
        </is>
      </c>
      <c r="E189" s="5" t="inlineStr">
        <is>
          <t>P201</t>
        </is>
      </c>
      <c r="F189" s="5" t="inlineStr">
        <is>
          <t>Laptops</t>
        </is>
      </c>
      <c r="G189" s="5" t="n">
        <v>1</v>
      </c>
      <c r="H189" s="51" t="n">
        <v>54999</v>
      </c>
      <c r="I189" s="62" t="n">
        <v>0</v>
      </c>
      <c r="J189" s="5" t="inlineStr">
        <is>
          <t>Corporate</t>
        </is>
      </c>
      <c r="K189" s="5" t="inlineStr">
        <is>
          <t>Yes</t>
        </is>
      </c>
      <c r="L189" s="51">
        <f>G189*H189*(1-I189)</f>
        <v/>
      </c>
      <c r="M189" s="51">
        <f>G189*INDEX(Lookups!$E$3:$E$12,MATCH(E189,Lookups!$A$3:$A$12,0))</f>
        <v/>
      </c>
      <c r="N189" s="51">
        <f>L189-M189</f>
        <v/>
      </c>
      <c r="O189" s="2" t="n"/>
      <c r="P189" s="2" t="n"/>
    </row>
    <row r="190">
      <c r="A190" s="5" t="inlineStr">
        <is>
          <t>ORD-0163</t>
        </is>
      </c>
      <c r="B190" s="50" t="n">
        <v>46206</v>
      </c>
      <c r="C190" s="5" t="inlineStr">
        <is>
          <t>S05</t>
        </is>
      </c>
      <c r="D190" s="5" t="inlineStr">
        <is>
          <t>Chennai</t>
        </is>
      </c>
      <c r="E190" s="5" t="inlineStr">
        <is>
          <t>P401</t>
        </is>
      </c>
      <c r="F190" s="5" t="inlineStr">
        <is>
          <t>Accessories</t>
        </is>
      </c>
      <c r="G190" s="5" t="n">
        <v>2</v>
      </c>
      <c r="H190" s="51" t="n">
        <v>1799</v>
      </c>
      <c r="I190" s="62" t="n">
        <v>0</v>
      </c>
      <c r="J190" s="5" t="inlineStr">
        <is>
          <t>Corporate</t>
        </is>
      </c>
      <c r="K190" s="5" t="inlineStr">
        <is>
          <t>Yes</t>
        </is>
      </c>
      <c r="L190" s="51">
        <f>G190*H190*(1-I190)</f>
        <v/>
      </c>
      <c r="M190" s="51">
        <f>G190*INDEX(Lookups!$E$3:$E$12,MATCH(E190,Lookups!$A$3:$A$12,0))</f>
        <v/>
      </c>
      <c r="N190" s="51">
        <f>L190-M190</f>
        <v/>
      </c>
      <c r="O190" s="2" t="n"/>
      <c r="P190" s="2" t="n"/>
    </row>
    <row r="191">
      <c r="A191" s="5" t="inlineStr">
        <is>
          <t>ORD-0053</t>
        </is>
      </c>
      <c r="B191" s="50" t="n">
        <v>46207</v>
      </c>
      <c r="C191" s="5" t="inlineStr">
        <is>
          <t>S06</t>
        </is>
      </c>
      <c r="D191" s="5" t="inlineStr">
        <is>
          <t>Gurugram</t>
        </is>
      </c>
      <c r="E191" s="5" t="inlineStr">
        <is>
          <t>P101</t>
        </is>
      </c>
      <c r="F191" s="5" t="inlineStr">
        <is>
          <t>Mobiles</t>
        </is>
      </c>
      <c r="G191" s="5" t="n">
        <v>1</v>
      </c>
      <c r="H191" s="51" t="n">
        <v>18999</v>
      </c>
      <c r="I191" s="62" t="n">
        <v>0.05</v>
      </c>
      <c r="J191" s="5" t="inlineStr">
        <is>
          <t>Corporate</t>
        </is>
      </c>
      <c r="K191" s="5" t="inlineStr">
        <is>
          <t>Yes</t>
        </is>
      </c>
      <c r="L191" s="51">
        <f>G191*H191*(1-I191)</f>
        <v/>
      </c>
      <c r="M191" s="51">
        <f>G191*INDEX(Lookups!$E$3:$E$12,MATCH(E191,Lookups!$A$3:$A$12,0))</f>
        <v/>
      </c>
      <c r="N191" s="51">
        <f>L191-M191</f>
        <v/>
      </c>
      <c r="O191" s="2" t="n"/>
      <c r="P191" s="2" t="n"/>
    </row>
    <row r="192">
      <c r="A192" s="5" t="inlineStr">
        <is>
          <t>ORD-0220</t>
        </is>
      </c>
      <c r="B192" s="50" t="n">
        <v>46207</v>
      </c>
      <c r="C192" s="5" t="inlineStr">
        <is>
          <t>S01</t>
        </is>
      </c>
      <c r="D192" s="5" t="inlineStr">
        <is>
          <t>Mumbai</t>
        </is>
      </c>
      <c r="E192" s="5" t="inlineStr">
        <is>
          <t>P302</t>
        </is>
      </c>
      <c r="F192" s="5" t="inlineStr">
        <is>
          <t>Audio</t>
        </is>
      </c>
      <c r="G192" s="5" t="n">
        <v>4</v>
      </c>
      <c r="H192" s="51" t="n">
        <v>4499</v>
      </c>
      <c r="I192" s="62" t="n">
        <v>0</v>
      </c>
      <c r="J192" s="5" t="inlineStr">
        <is>
          <t>Corporate</t>
        </is>
      </c>
      <c r="K192" s="5" t="inlineStr">
        <is>
          <t>Yes</t>
        </is>
      </c>
      <c r="L192" s="51">
        <f>G192*H192*(1-I192)</f>
        <v/>
      </c>
      <c r="M192" s="51">
        <f>G192*INDEX(Lookups!$E$3:$E$12,MATCH(E192,Lookups!$A$3:$A$12,0))</f>
        <v/>
      </c>
      <c r="N192" s="51">
        <f>L192-M192</f>
        <v/>
      </c>
      <c r="O192" s="2" t="n"/>
      <c r="P192" s="2" t="n"/>
    </row>
    <row r="193">
      <c r="A193" s="5" t="inlineStr">
        <is>
          <t>ORD-0280</t>
        </is>
      </c>
      <c r="B193" s="50" t="n">
        <v>46207</v>
      </c>
      <c r="C193" s="5" t="inlineStr">
        <is>
          <t>S04</t>
        </is>
      </c>
      <c r="D193" s="5" t="inlineStr">
        <is>
          <t>Bengaluru</t>
        </is>
      </c>
      <c r="E193" s="5" t="inlineStr">
        <is>
          <t>P302</t>
        </is>
      </c>
      <c r="F193" s="5" t="inlineStr">
        <is>
          <t>Audio</t>
        </is>
      </c>
      <c r="G193" s="5" t="n">
        <v>1</v>
      </c>
      <c r="H193" s="51" t="n">
        <v>4499</v>
      </c>
      <c r="I193" s="62" t="n">
        <v>0</v>
      </c>
      <c r="J193" s="5" t="inlineStr">
        <is>
          <t>Online</t>
        </is>
      </c>
      <c r="K193" s="5" t="inlineStr">
        <is>
          <t>No</t>
        </is>
      </c>
      <c r="L193" s="51">
        <f>G193*H193*(1-I193)</f>
        <v/>
      </c>
      <c r="M193" s="51">
        <f>G193*INDEX(Lookups!$E$3:$E$12,MATCH(E193,Lookups!$A$3:$A$12,0))</f>
        <v/>
      </c>
      <c r="N193" s="51">
        <f>L193-M193</f>
        <v/>
      </c>
      <c r="O193" s="2" t="n"/>
      <c r="P193" s="2" t="n"/>
    </row>
    <row r="194">
      <c r="A194" s="5" t="inlineStr">
        <is>
          <t>ORD-0241</t>
        </is>
      </c>
      <c r="B194" s="50" t="n">
        <v>46209</v>
      </c>
      <c r="C194" s="5" t="inlineStr">
        <is>
          <t>S03</t>
        </is>
      </c>
      <c r="D194" s="5" t="inlineStr">
        <is>
          <t>Delhi</t>
        </is>
      </c>
      <c r="E194" s="5" t="inlineStr">
        <is>
          <t>P302</t>
        </is>
      </c>
      <c r="F194" s="5" t="inlineStr">
        <is>
          <t>Audio</t>
        </is>
      </c>
      <c r="G194" s="5" t="n">
        <v>2</v>
      </c>
      <c r="H194" s="51" t="n">
        <v>4499</v>
      </c>
      <c r="I194" s="62" t="n">
        <v>0</v>
      </c>
      <c r="J194" s="5" t="inlineStr">
        <is>
          <t>Online</t>
        </is>
      </c>
      <c r="K194" s="5" t="inlineStr">
        <is>
          <t>No</t>
        </is>
      </c>
      <c r="L194" s="51">
        <f>G194*H194*(1-I194)</f>
        <v/>
      </c>
      <c r="M194" s="51">
        <f>G194*INDEX(Lookups!$E$3:$E$12,MATCH(E194,Lookups!$A$3:$A$12,0))</f>
        <v/>
      </c>
      <c r="N194" s="51">
        <f>L194-M194</f>
        <v/>
      </c>
      <c r="O194" s="2" t="n"/>
      <c r="P194" s="2" t="n"/>
    </row>
    <row r="195">
      <c r="A195" s="5" t="inlineStr">
        <is>
          <t>ORD-0356</t>
        </is>
      </c>
      <c r="B195" s="50" t="n">
        <v>46209</v>
      </c>
      <c r="C195" s="5" t="inlineStr">
        <is>
          <t>S01</t>
        </is>
      </c>
      <c r="D195" s="5" t="inlineStr">
        <is>
          <t>Mumbai</t>
        </is>
      </c>
      <c r="E195" s="5" t="inlineStr">
        <is>
          <t>P502</t>
        </is>
      </c>
      <c r="F195" s="5" t="inlineStr">
        <is>
          <t>TV</t>
        </is>
      </c>
      <c r="G195" s="5" t="n">
        <v>2</v>
      </c>
      <c r="H195" s="51" t="n">
        <v>52999</v>
      </c>
      <c r="I195" s="62" t="n">
        <v>0</v>
      </c>
      <c r="J195" s="5" t="inlineStr">
        <is>
          <t>Walk-in</t>
        </is>
      </c>
      <c r="K195" s="5" t="inlineStr">
        <is>
          <t>No</t>
        </is>
      </c>
      <c r="L195" s="51">
        <f>G195*H195*(1-I195)</f>
        <v/>
      </c>
      <c r="M195" s="51">
        <f>G195*INDEX(Lookups!$E$3:$E$12,MATCH(E195,Lookups!$A$3:$A$12,0))</f>
        <v/>
      </c>
      <c r="N195" s="51">
        <f>L195-M195</f>
        <v/>
      </c>
      <c r="O195" s="2" t="n"/>
      <c r="P195" s="2" t="n"/>
    </row>
    <row r="196">
      <c r="A196" s="5" t="inlineStr">
        <is>
          <t>ORD-0180</t>
        </is>
      </c>
      <c r="B196" s="50" t="n">
        <v>46210</v>
      </c>
      <c r="C196" s="5" t="inlineStr">
        <is>
          <t>S06</t>
        </is>
      </c>
      <c r="D196" s="5" t="inlineStr">
        <is>
          <t>Gurugram</t>
        </is>
      </c>
      <c r="E196" s="5" t="inlineStr">
        <is>
          <t>P301</t>
        </is>
      </c>
      <c r="F196" s="5" t="inlineStr">
        <is>
          <t>Audio</t>
        </is>
      </c>
      <c r="G196" s="5" t="n">
        <v>1</v>
      </c>
      <c r="H196" s="51" t="n">
        <v>2999</v>
      </c>
      <c r="I196" s="62" t="n">
        <v>0</v>
      </c>
      <c r="J196" s="5" t="inlineStr">
        <is>
          <t>Corporate</t>
        </is>
      </c>
      <c r="K196" s="5" t="inlineStr">
        <is>
          <t>No</t>
        </is>
      </c>
      <c r="L196" s="51">
        <f>G196*H196*(1-I196)</f>
        <v/>
      </c>
      <c r="M196" s="51">
        <f>G196*INDEX(Lookups!$E$3:$E$12,MATCH(E196,Lookups!$A$3:$A$12,0))</f>
        <v/>
      </c>
      <c r="N196" s="51">
        <f>L196-M196</f>
        <v/>
      </c>
      <c r="O196" s="2" t="n"/>
      <c r="P196" s="2" t="n"/>
    </row>
    <row r="197">
      <c r="A197" s="5" t="inlineStr">
        <is>
          <t>ORD-0251</t>
        </is>
      </c>
      <c r="B197" s="50" t="n">
        <v>46210</v>
      </c>
      <c r="C197" s="5" t="inlineStr">
        <is>
          <t>S02</t>
        </is>
      </c>
      <c r="D197" s="5" t="inlineStr">
        <is>
          <t>Pune</t>
        </is>
      </c>
      <c r="E197" s="5" t="inlineStr">
        <is>
          <t>P501</t>
        </is>
      </c>
      <c r="F197" s="5" t="inlineStr">
        <is>
          <t>TV</t>
        </is>
      </c>
      <c r="G197" s="5" t="n">
        <v>1</v>
      </c>
      <c r="H197" s="51" t="n">
        <v>32999</v>
      </c>
      <c r="I197" s="62" t="n">
        <v>0.1</v>
      </c>
      <c r="J197" s="5" t="inlineStr">
        <is>
          <t>Online</t>
        </is>
      </c>
      <c r="K197" s="5" t="inlineStr">
        <is>
          <t>No</t>
        </is>
      </c>
      <c r="L197" s="51">
        <f>G197*H197*(1-I197)</f>
        <v/>
      </c>
      <c r="M197" s="51">
        <f>G197*INDEX(Lookups!$E$3:$E$12,MATCH(E197,Lookups!$A$3:$A$12,0))</f>
        <v/>
      </c>
      <c r="N197" s="51">
        <f>L197-M197</f>
        <v/>
      </c>
      <c r="O197" s="2" t="n"/>
      <c r="P197" s="2" t="n"/>
    </row>
    <row r="198">
      <c r="A198" s="5" t="inlineStr">
        <is>
          <t>ORD-0282</t>
        </is>
      </c>
      <c r="B198" s="50" t="n">
        <v>46210</v>
      </c>
      <c r="C198" s="5" t="inlineStr">
        <is>
          <t>S02</t>
        </is>
      </c>
      <c r="D198" s="5" t="inlineStr">
        <is>
          <t>Pune</t>
        </is>
      </c>
      <c r="E198" s="5" t="inlineStr">
        <is>
          <t>P101</t>
        </is>
      </c>
      <c r="F198" s="5" t="inlineStr">
        <is>
          <t>Mobiles</t>
        </is>
      </c>
      <c r="G198" s="5" t="n">
        <v>1</v>
      </c>
      <c r="H198" s="51" t="n">
        <v>18999</v>
      </c>
      <c r="I198" s="62" t="n">
        <v>0</v>
      </c>
      <c r="J198" s="5" t="inlineStr">
        <is>
          <t>Corporate</t>
        </is>
      </c>
      <c r="K198" s="5" t="inlineStr">
        <is>
          <t>Yes</t>
        </is>
      </c>
      <c r="L198" s="51">
        <f>G198*H198*(1-I198)</f>
        <v/>
      </c>
      <c r="M198" s="51">
        <f>G198*INDEX(Lookups!$E$3:$E$12,MATCH(E198,Lookups!$A$3:$A$12,0))</f>
        <v/>
      </c>
      <c r="N198" s="51">
        <f>L198-M198</f>
        <v/>
      </c>
      <c r="O198" s="2" t="n"/>
      <c r="P198" s="2" t="n"/>
    </row>
    <row r="199">
      <c r="A199" s="5" t="inlineStr">
        <is>
          <t>ORD-0306</t>
        </is>
      </c>
      <c r="B199" s="50" t="n">
        <v>46210</v>
      </c>
      <c r="C199" s="5" t="inlineStr">
        <is>
          <t>S03</t>
        </is>
      </c>
      <c r="D199" s="5" t="inlineStr">
        <is>
          <t>Delhi</t>
        </is>
      </c>
      <c r="E199" s="5" t="inlineStr">
        <is>
          <t>P101</t>
        </is>
      </c>
      <c r="F199" s="5" t="inlineStr">
        <is>
          <t>Mobiles</t>
        </is>
      </c>
      <c r="G199" s="5" t="n">
        <v>2</v>
      </c>
      <c r="H199" s="51" t="n">
        <v>18999</v>
      </c>
      <c r="I199" s="62" t="n">
        <v>0</v>
      </c>
      <c r="J199" s="5" t="inlineStr">
        <is>
          <t>Walk-in</t>
        </is>
      </c>
      <c r="K199" s="5" t="inlineStr">
        <is>
          <t>Yes</t>
        </is>
      </c>
      <c r="L199" s="51">
        <f>G199*H199*(1-I199)</f>
        <v/>
      </c>
      <c r="M199" s="51">
        <f>G199*INDEX(Lookups!$E$3:$E$12,MATCH(E199,Lookups!$A$3:$A$12,0))</f>
        <v/>
      </c>
      <c r="N199" s="51">
        <f>L199-M199</f>
        <v/>
      </c>
      <c r="O199" s="2" t="n"/>
      <c r="P199" s="2" t="n"/>
    </row>
    <row r="200">
      <c r="A200" s="5" t="inlineStr">
        <is>
          <t>ORD-0400</t>
        </is>
      </c>
      <c r="B200" s="50" t="n">
        <v>46210</v>
      </c>
      <c r="C200" s="5" t="inlineStr">
        <is>
          <t>S02</t>
        </is>
      </c>
      <c r="D200" s="5" t="inlineStr">
        <is>
          <t>Pune</t>
        </is>
      </c>
      <c r="E200" s="5" t="inlineStr">
        <is>
          <t>P301</t>
        </is>
      </c>
      <c r="F200" s="5" t="inlineStr">
        <is>
          <t>Audio</t>
        </is>
      </c>
      <c r="G200" s="5" t="n">
        <v>2</v>
      </c>
      <c r="H200" s="51" t="n">
        <v>2999</v>
      </c>
      <c r="I200" s="62" t="n">
        <v>0</v>
      </c>
      <c r="J200" s="5" t="inlineStr">
        <is>
          <t>Corporate</t>
        </is>
      </c>
      <c r="K200" s="5" t="inlineStr">
        <is>
          <t>No</t>
        </is>
      </c>
      <c r="L200" s="51">
        <f>G200*H200*(1-I200)</f>
        <v/>
      </c>
      <c r="M200" s="51">
        <f>G200*INDEX(Lookups!$E$3:$E$12,MATCH(E200,Lookups!$A$3:$A$12,0))</f>
        <v/>
      </c>
      <c r="N200" s="51">
        <f>L200-M200</f>
        <v/>
      </c>
      <c r="O200" s="2" t="n"/>
      <c r="P200" s="2" t="n"/>
    </row>
    <row r="201">
      <c r="A201" s="5" t="inlineStr">
        <is>
          <t>ORD-0008</t>
        </is>
      </c>
      <c r="B201" s="50" t="n">
        <v>46211</v>
      </c>
      <c r="C201" s="5" t="inlineStr">
        <is>
          <t>S05</t>
        </is>
      </c>
      <c r="D201" s="5" t="inlineStr">
        <is>
          <t>Chennai</t>
        </is>
      </c>
      <c r="E201" s="5" t="inlineStr">
        <is>
          <t>P302</t>
        </is>
      </c>
      <c r="F201" s="5" t="inlineStr">
        <is>
          <t>Audio</t>
        </is>
      </c>
      <c r="G201" s="5" t="n">
        <v>1</v>
      </c>
      <c r="H201" s="51" t="n">
        <v>4499</v>
      </c>
      <c r="I201" s="62" t="n">
        <v>0</v>
      </c>
      <c r="J201" s="5" t="inlineStr">
        <is>
          <t>Walk-in</t>
        </is>
      </c>
      <c r="K201" s="5" t="inlineStr">
        <is>
          <t>Yes</t>
        </is>
      </c>
      <c r="L201" s="51">
        <f>G201*H201*(1-I201)</f>
        <v/>
      </c>
      <c r="M201" s="51">
        <f>G201*INDEX(Lookups!$E$3:$E$12,MATCH(E201,Lookups!$A$3:$A$12,0))</f>
        <v/>
      </c>
      <c r="N201" s="51">
        <f>L201-M201</f>
        <v/>
      </c>
      <c r="O201" s="2" t="n"/>
      <c r="P201" s="2" t="n"/>
    </row>
    <row r="202">
      <c r="A202" s="5" t="inlineStr">
        <is>
          <t>ORD-0348</t>
        </is>
      </c>
      <c r="B202" s="50" t="n">
        <v>46211</v>
      </c>
      <c r="C202" s="5" t="inlineStr">
        <is>
          <t>S02</t>
        </is>
      </c>
      <c r="D202" s="5" t="inlineStr">
        <is>
          <t>Pune</t>
        </is>
      </c>
      <c r="E202" s="5" t="inlineStr">
        <is>
          <t>P301</t>
        </is>
      </c>
      <c r="F202" s="5" t="inlineStr">
        <is>
          <t>Audio</t>
        </is>
      </c>
      <c r="G202" s="5" t="n">
        <v>1</v>
      </c>
      <c r="H202" s="51" t="n">
        <v>2999</v>
      </c>
      <c r="I202" s="62" t="n">
        <v>0</v>
      </c>
      <c r="J202" s="5" t="inlineStr">
        <is>
          <t>Online</t>
        </is>
      </c>
      <c r="K202" s="5" t="inlineStr">
        <is>
          <t>Yes</t>
        </is>
      </c>
      <c r="L202" s="51">
        <f>G202*H202*(1-I202)</f>
        <v/>
      </c>
      <c r="M202" s="51">
        <f>G202*INDEX(Lookups!$E$3:$E$12,MATCH(E202,Lookups!$A$3:$A$12,0))</f>
        <v/>
      </c>
      <c r="N202" s="51">
        <f>L202-M202</f>
        <v/>
      </c>
      <c r="O202" s="2" t="n"/>
      <c r="P202" s="2" t="n"/>
    </row>
    <row r="203">
      <c r="A203" s="5" t="inlineStr">
        <is>
          <t>ORD-0366</t>
        </is>
      </c>
      <c r="B203" s="50" t="n">
        <v>46211</v>
      </c>
      <c r="C203" s="5" t="inlineStr">
        <is>
          <t>S02</t>
        </is>
      </c>
      <c r="D203" s="5" t="inlineStr">
        <is>
          <t>Pune</t>
        </is>
      </c>
      <c r="E203" s="5" t="inlineStr">
        <is>
          <t>P301</t>
        </is>
      </c>
      <c r="F203" s="5" t="inlineStr">
        <is>
          <t>Audio</t>
        </is>
      </c>
      <c r="G203" s="5" t="n">
        <v>2</v>
      </c>
      <c r="H203" s="51" t="n">
        <v>2999</v>
      </c>
      <c r="I203" s="62" t="n">
        <v>0</v>
      </c>
      <c r="J203" s="5" t="inlineStr">
        <is>
          <t>Corporate</t>
        </is>
      </c>
      <c r="K203" s="5" t="inlineStr">
        <is>
          <t>Yes</t>
        </is>
      </c>
      <c r="L203" s="51">
        <f>G203*H203*(1-I203)</f>
        <v/>
      </c>
      <c r="M203" s="51">
        <f>G203*INDEX(Lookups!$E$3:$E$12,MATCH(E203,Lookups!$A$3:$A$12,0))</f>
        <v/>
      </c>
      <c r="N203" s="51">
        <f>L203-M203</f>
        <v/>
      </c>
      <c r="O203" s="2" t="n"/>
      <c r="P203" s="2" t="n"/>
    </row>
    <row r="204">
      <c r="A204" s="5" t="inlineStr">
        <is>
          <t>ORD-0386</t>
        </is>
      </c>
      <c r="B204" s="50" t="n">
        <v>46211</v>
      </c>
      <c r="C204" s="5" t="inlineStr">
        <is>
          <t>S04</t>
        </is>
      </c>
      <c r="D204" s="5" t="inlineStr">
        <is>
          <t>Bengaluru</t>
        </is>
      </c>
      <c r="E204" s="5" t="inlineStr">
        <is>
          <t>P201</t>
        </is>
      </c>
      <c r="F204" s="5" t="inlineStr">
        <is>
          <t>Laptops</t>
        </is>
      </c>
      <c r="G204" s="5" t="n">
        <v>4</v>
      </c>
      <c r="H204" s="51" t="n">
        <v>54999</v>
      </c>
      <c r="I204" s="62" t="n">
        <v>0.1</v>
      </c>
      <c r="J204" s="5" t="inlineStr">
        <is>
          <t>Online</t>
        </is>
      </c>
      <c r="K204" s="5" t="inlineStr">
        <is>
          <t>No</t>
        </is>
      </c>
      <c r="L204" s="51">
        <f>G204*H204*(1-I204)</f>
        <v/>
      </c>
      <c r="M204" s="51">
        <f>G204*INDEX(Lookups!$E$3:$E$12,MATCH(E204,Lookups!$A$3:$A$12,0))</f>
        <v/>
      </c>
      <c r="N204" s="51">
        <f>L204-M204</f>
        <v/>
      </c>
      <c r="O204" s="2" t="n"/>
      <c r="P204" s="2" t="n"/>
    </row>
    <row r="205">
      <c r="A205" s="5" t="inlineStr">
        <is>
          <t>ORD-0025</t>
        </is>
      </c>
      <c r="B205" s="50" t="n">
        <v>46212</v>
      </c>
      <c r="C205" s="5" t="inlineStr">
        <is>
          <t>S03</t>
        </is>
      </c>
      <c r="D205" s="5" t="inlineStr">
        <is>
          <t>Delhi</t>
        </is>
      </c>
      <c r="E205" s="5" t="inlineStr">
        <is>
          <t>P101</t>
        </is>
      </c>
      <c r="F205" s="5" t="inlineStr">
        <is>
          <t>Mobiles</t>
        </is>
      </c>
      <c r="G205" s="5" t="n">
        <v>2</v>
      </c>
      <c r="H205" s="51" t="n">
        <v>18999</v>
      </c>
      <c r="I205" s="62" t="n">
        <v>0</v>
      </c>
      <c r="J205" s="5" t="inlineStr">
        <is>
          <t>Online</t>
        </is>
      </c>
      <c r="K205" s="5" t="inlineStr">
        <is>
          <t>Yes</t>
        </is>
      </c>
      <c r="L205" s="51">
        <f>G205*H205*(1-I205)</f>
        <v/>
      </c>
      <c r="M205" s="51">
        <f>G205*INDEX(Lookups!$E$3:$E$12,MATCH(E205,Lookups!$A$3:$A$12,0))</f>
        <v/>
      </c>
      <c r="N205" s="51">
        <f>L205-M205</f>
        <v/>
      </c>
      <c r="O205" s="2" t="n"/>
      <c r="P205" s="2" t="n"/>
    </row>
    <row r="206">
      <c r="A206" s="5" t="inlineStr">
        <is>
          <t>ORD-0063</t>
        </is>
      </c>
      <c r="B206" s="50" t="n">
        <v>46212</v>
      </c>
      <c r="C206" s="5" t="inlineStr">
        <is>
          <t>S03</t>
        </is>
      </c>
      <c r="D206" s="5" t="inlineStr">
        <is>
          <t>Delhi</t>
        </is>
      </c>
      <c r="E206" s="5" t="inlineStr">
        <is>
          <t>P201</t>
        </is>
      </c>
      <c r="F206" s="5" t="inlineStr">
        <is>
          <t>Laptops</t>
        </is>
      </c>
      <c r="G206" s="5" t="n">
        <v>4</v>
      </c>
      <c r="H206" s="51" t="n">
        <v>54999</v>
      </c>
      <c r="I206" s="62" t="n">
        <v>0</v>
      </c>
      <c r="J206" s="5" t="inlineStr">
        <is>
          <t>Corporate</t>
        </is>
      </c>
      <c r="K206" s="5" t="inlineStr">
        <is>
          <t>No</t>
        </is>
      </c>
      <c r="L206" s="51">
        <f>G206*H206*(1-I206)</f>
        <v/>
      </c>
      <c r="M206" s="51">
        <f>G206*INDEX(Lookups!$E$3:$E$12,MATCH(E206,Lookups!$A$3:$A$12,0))</f>
        <v/>
      </c>
      <c r="N206" s="51">
        <f>L206-M206</f>
        <v/>
      </c>
      <c r="O206" s="2" t="n"/>
      <c r="P206" s="2" t="n"/>
    </row>
    <row r="207">
      <c r="A207" s="5" t="inlineStr">
        <is>
          <t>ORD-0084</t>
        </is>
      </c>
      <c r="B207" s="50" t="n">
        <v>46212</v>
      </c>
      <c r="C207" s="5" t="inlineStr">
        <is>
          <t>S03</t>
        </is>
      </c>
      <c r="D207" s="5" t="inlineStr">
        <is>
          <t>Delhi</t>
        </is>
      </c>
      <c r="E207" s="5" t="inlineStr">
        <is>
          <t>P301</t>
        </is>
      </c>
      <c r="F207" s="5" t="inlineStr">
        <is>
          <t>Audio</t>
        </is>
      </c>
      <c r="G207" s="5" t="n">
        <v>1</v>
      </c>
      <c r="H207" s="51" t="n">
        <v>2999</v>
      </c>
      <c r="I207" s="62" t="n">
        <v>0.05</v>
      </c>
      <c r="J207" s="5" t="inlineStr">
        <is>
          <t>Online</t>
        </is>
      </c>
      <c r="K207" s="5" t="inlineStr">
        <is>
          <t>No</t>
        </is>
      </c>
      <c r="L207" s="51">
        <f>G207*H207*(1-I207)</f>
        <v/>
      </c>
      <c r="M207" s="51">
        <f>G207*INDEX(Lookups!$E$3:$E$12,MATCH(E207,Lookups!$A$3:$A$12,0))</f>
        <v/>
      </c>
      <c r="N207" s="51">
        <f>L207-M207</f>
        <v/>
      </c>
      <c r="O207" s="2" t="n"/>
      <c r="P207" s="2" t="n"/>
    </row>
    <row r="208">
      <c r="A208" s="5" t="inlineStr">
        <is>
          <t>ORD-0258</t>
        </is>
      </c>
      <c r="B208" s="50" t="n">
        <v>46212</v>
      </c>
      <c r="C208" s="5" t="inlineStr">
        <is>
          <t>S02</t>
        </is>
      </c>
      <c r="D208" s="5" t="inlineStr">
        <is>
          <t>Pune</t>
        </is>
      </c>
      <c r="E208" s="5" t="inlineStr">
        <is>
          <t>P302</t>
        </is>
      </c>
      <c r="F208" s="5" t="inlineStr">
        <is>
          <t>Audio</t>
        </is>
      </c>
      <c r="G208" s="5" t="n">
        <v>1</v>
      </c>
      <c r="H208" s="51" t="n">
        <v>4499</v>
      </c>
      <c r="I208" s="62" t="n">
        <v>0.1</v>
      </c>
      <c r="J208" s="5" t="inlineStr">
        <is>
          <t>Online</t>
        </is>
      </c>
      <c r="K208" s="5" t="inlineStr">
        <is>
          <t>No</t>
        </is>
      </c>
      <c r="L208" s="51">
        <f>G208*H208*(1-I208)</f>
        <v/>
      </c>
      <c r="M208" s="51">
        <f>G208*INDEX(Lookups!$E$3:$E$12,MATCH(E208,Lookups!$A$3:$A$12,0))</f>
        <v/>
      </c>
      <c r="N208" s="51">
        <f>L208-M208</f>
        <v/>
      </c>
      <c r="O208" s="2" t="n"/>
      <c r="P208" s="2" t="n"/>
    </row>
    <row r="209">
      <c r="A209" s="5" t="inlineStr">
        <is>
          <t>ORD-0297</t>
        </is>
      </c>
      <c r="B209" s="50" t="n">
        <v>46213</v>
      </c>
      <c r="C209" s="5" t="inlineStr">
        <is>
          <t>S01</t>
        </is>
      </c>
      <c r="D209" s="5" t="inlineStr">
        <is>
          <t>Mumbai</t>
        </is>
      </c>
      <c r="E209" s="5" t="inlineStr">
        <is>
          <t>P301</t>
        </is>
      </c>
      <c r="F209" s="5" t="inlineStr">
        <is>
          <t>Audio</t>
        </is>
      </c>
      <c r="G209" s="5" t="n">
        <v>1</v>
      </c>
      <c r="H209" s="51" t="n">
        <v>2999</v>
      </c>
      <c r="I209" s="62" t="n">
        <v>0</v>
      </c>
      <c r="J209" s="5" t="inlineStr">
        <is>
          <t>Online</t>
        </is>
      </c>
      <c r="K209" s="5" t="inlineStr">
        <is>
          <t>No</t>
        </is>
      </c>
      <c r="L209" s="51">
        <f>G209*H209*(1-I209)</f>
        <v/>
      </c>
      <c r="M209" s="51">
        <f>G209*INDEX(Lookups!$E$3:$E$12,MATCH(E209,Lookups!$A$3:$A$12,0))</f>
        <v/>
      </c>
      <c r="N209" s="51">
        <f>L209-M209</f>
        <v/>
      </c>
      <c r="O209" s="2" t="n"/>
      <c r="P209" s="2" t="n"/>
    </row>
    <row r="210">
      <c r="A210" s="5" t="inlineStr">
        <is>
          <t>ORD-0358</t>
        </is>
      </c>
      <c r="B210" s="50" t="n">
        <v>46213</v>
      </c>
      <c r="C210" s="5" t="inlineStr">
        <is>
          <t>S03</t>
        </is>
      </c>
      <c r="D210" s="5" t="inlineStr">
        <is>
          <t>Delhi</t>
        </is>
      </c>
      <c r="E210" s="5" t="inlineStr">
        <is>
          <t>P201</t>
        </is>
      </c>
      <c r="F210" s="5" t="inlineStr">
        <is>
          <t>Laptops</t>
        </is>
      </c>
      <c r="G210" s="5" t="n">
        <v>1</v>
      </c>
      <c r="H210" s="51" t="n">
        <v>54999</v>
      </c>
      <c r="I210" s="62" t="n">
        <v>0</v>
      </c>
      <c r="J210" s="5" t="inlineStr">
        <is>
          <t>Online</t>
        </is>
      </c>
      <c r="K210" s="5" t="inlineStr">
        <is>
          <t>No</t>
        </is>
      </c>
      <c r="L210" s="51">
        <f>G210*H210*(1-I210)</f>
        <v/>
      </c>
      <c r="M210" s="51">
        <f>G210*INDEX(Lookups!$E$3:$E$12,MATCH(E210,Lookups!$A$3:$A$12,0))</f>
        <v/>
      </c>
      <c r="N210" s="51">
        <f>L210-M210</f>
        <v/>
      </c>
      <c r="O210" s="2" t="n"/>
      <c r="P210" s="2" t="n"/>
    </row>
    <row r="211">
      <c r="A211" s="5" t="inlineStr">
        <is>
          <t>ORD-0034</t>
        </is>
      </c>
      <c r="B211" s="50" t="n">
        <v>46214</v>
      </c>
      <c r="C211" s="5" t="inlineStr">
        <is>
          <t>S03</t>
        </is>
      </c>
      <c r="D211" s="5" t="inlineStr">
        <is>
          <t>Delhi</t>
        </is>
      </c>
      <c r="E211" s="5" t="inlineStr">
        <is>
          <t>P401</t>
        </is>
      </c>
      <c r="F211" s="5" t="inlineStr">
        <is>
          <t>Accessories</t>
        </is>
      </c>
      <c r="G211" s="5" t="n">
        <v>2</v>
      </c>
      <c r="H211" s="51" t="n">
        <v>1799</v>
      </c>
      <c r="I211" s="62" t="n">
        <v>0.05</v>
      </c>
      <c r="J211" s="5" t="inlineStr">
        <is>
          <t>Online</t>
        </is>
      </c>
      <c r="K211" s="5" t="inlineStr">
        <is>
          <t>No</t>
        </is>
      </c>
      <c r="L211" s="51">
        <f>G211*H211*(1-I211)</f>
        <v/>
      </c>
      <c r="M211" s="51">
        <f>G211*INDEX(Lookups!$E$3:$E$12,MATCH(E211,Lookups!$A$3:$A$12,0))</f>
        <v/>
      </c>
      <c r="N211" s="51">
        <f>L211-M211</f>
        <v/>
      </c>
      <c r="O211" s="2" t="n"/>
      <c r="P211" s="2" t="n"/>
    </row>
    <row r="212">
      <c r="A212" s="5" t="inlineStr">
        <is>
          <t>ORD-0250</t>
        </is>
      </c>
      <c r="B212" s="50" t="n">
        <v>46214</v>
      </c>
      <c r="C212" s="5" t="inlineStr">
        <is>
          <t>S02</t>
        </is>
      </c>
      <c r="D212" s="5" t="inlineStr">
        <is>
          <t>Pune</t>
        </is>
      </c>
      <c r="E212" s="5" t="inlineStr">
        <is>
          <t>P301</t>
        </is>
      </c>
      <c r="F212" s="5" t="inlineStr">
        <is>
          <t>Audio</t>
        </is>
      </c>
      <c r="G212" s="5" t="n">
        <v>2</v>
      </c>
      <c r="H212" s="51" t="n">
        <v>2999</v>
      </c>
      <c r="I212" s="62" t="n">
        <v>0</v>
      </c>
      <c r="J212" s="5" t="inlineStr">
        <is>
          <t>Walk-in</t>
        </is>
      </c>
      <c r="K212" s="5" t="inlineStr">
        <is>
          <t>No</t>
        </is>
      </c>
      <c r="L212" s="51">
        <f>G212*H212*(1-I212)</f>
        <v/>
      </c>
      <c r="M212" s="51">
        <f>G212*INDEX(Lookups!$E$3:$E$12,MATCH(E212,Lookups!$A$3:$A$12,0))</f>
        <v/>
      </c>
      <c r="N212" s="51">
        <f>L212-M212</f>
        <v/>
      </c>
      <c r="O212" s="2" t="n"/>
      <c r="P212" s="2" t="n"/>
    </row>
    <row r="213">
      <c r="A213" s="5" t="inlineStr">
        <is>
          <t>ORD-0274</t>
        </is>
      </c>
      <c r="B213" s="50" t="n">
        <v>46214</v>
      </c>
      <c r="C213" s="5" t="inlineStr">
        <is>
          <t>S01</t>
        </is>
      </c>
      <c r="D213" s="5" t="inlineStr">
        <is>
          <t>Mumbai</t>
        </is>
      </c>
      <c r="E213" s="5" t="inlineStr">
        <is>
          <t>P201</t>
        </is>
      </c>
      <c r="F213" s="5" t="inlineStr">
        <is>
          <t>Laptops</t>
        </is>
      </c>
      <c r="G213" s="5" t="n">
        <v>1</v>
      </c>
      <c r="H213" s="51" t="n">
        <v>54999</v>
      </c>
      <c r="I213" s="62" t="n">
        <v>0</v>
      </c>
      <c r="J213" s="5" t="inlineStr">
        <is>
          <t>Corporate</t>
        </is>
      </c>
      <c r="K213" s="5" t="inlineStr">
        <is>
          <t>Yes</t>
        </is>
      </c>
      <c r="L213" s="51">
        <f>G213*H213*(1-I213)</f>
        <v/>
      </c>
      <c r="M213" s="51">
        <f>G213*INDEX(Lookups!$E$3:$E$12,MATCH(E213,Lookups!$A$3:$A$12,0))</f>
        <v/>
      </c>
      <c r="N213" s="51">
        <f>L213-M213</f>
        <v/>
      </c>
      <c r="O213" s="2" t="n"/>
      <c r="P213" s="2" t="n"/>
    </row>
    <row r="214">
      <c r="A214" s="5" t="inlineStr">
        <is>
          <t>ORD-0114</t>
        </is>
      </c>
      <c r="B214" s="50" t="n">
        <v>46215</v>
      </c>
      <c r="C214" s="5" t="inlineStr">
        <is>
          <t>S05</t>
        </is>
      </c>
      <c r="D214" s="5" t="inlineStr">
        <is>
          <t>Chennai</t>
        </is>
      </c>
      <c r="E214" s="5" t="inlineStr">
        <is>
          <t>P302</t>
        </is>
      </c>
      <c r="F214" s="5" t="inlineStr">
        <is>
          <t>Audio</t>
        </is>
      </c>
      <c r="G214" s="5" t="n">
        <v>3</v>
      </c>
      <c r="H214" s="51" t="n">
        <v>4499</v>
      </c>
      <c r="I214" s="62" t="n">
        <v>0</v>
      </c>
      <c r="J214" s="5" t="inlineStr">
        <is>
          <t>Walk-in</t>
        </is>
      </c>
      <c r="K214" s="5" t="inlineStr">
        <is>
          <t>No</t>
        </is>
      </c>
      <c r="L214" s="51">
        <f>G214*H214*(1-I214)</f>
        <v/>
      </c>
      <c r="M214" s="51">
        <f>G214*INDEX(Lookups!$E$3:$E$12,MATCH(E214,Lookups!$A$3:$A$12,0))</f>
        <v/>
      </c>
      <c r="N214" s="51">
        <f>L214-M214</f>
        <v/>
      </c>
      <c r="O214" s="2" t="n"/>
      <c r="P214" s="2" t="n"/>
    </row>
    <row r="215">
      <c r="A215" s="5" t="inlineStr">
        <is>
          <t>ORD-0377</t>
        </is>
      </c>
      <c r="B215" s="50" t="n">
        <v>46215</v>
      </c>
      <c r="C215" s="5" t="inlineStr">
        <is>
          <t>S05</t>
        </is>
      </c>
      <c r="D215" s="5" t="inlineStr">
        <is>
          <t>Chennai</t>
        </is>
      </c>
      <c r="E215" s="5" t="inlineStr">
        <is>
          <t>P402</t>
        </is>
      </c>
      <c r="F215" s="5" t="inlineStr">
        <is>
          <t>Accessories</t>
        </is>
      </c>
      <c r="G215" s="5" t="n">
        <v>1</v>
      </c>
      <c r="H215" s="51" t="n">
        <v>1499</v>
      </c>
      <c r="I215" s="62" t="n">
        <v>0</v>
      </c>
      <c r="J215" s="5" t="inlineStr">
        <is>
          <t>Online</t>
        </is>
      </c>
      <c r="K215" s="5" t="inlineStr">
        <is>
          <t>No</t>
        </is>
      </c>
      <c r="L215" s="51">
        <f>G215*H215*(1-I215)</f>
        <v/>
      </c>
      <c r="M215" s="51">
        <f>G215*INDEX(Lookups!$E$3:$E$12,MATCH(E215,Lookups!$A$3:$A$12,0))</f>
        <v/>
      </c>
      <c r="N215" s="51">
        <f>L215-M215</f>
        <v/>
      </c>
      <c r="O215" s="2" t="n"/>
      <c r="P215" s="2" t="n"/>
    </row>
    <row r="216">
      <c r="A216" s="5" t="inlineStr">
        <is>
          <t>ORD-0083</t>
        </is>
      </c>
      <c r="B216" s="50" t="n">
        <v>46216</v>
      </c>
      <c r="C216" s="5" t="inlineStr">
        <is>
          <t>S06</t>
        </is>
      </c>
      <c r="D216" s="5" t="inlineStr">
        <is>
          <t>Gurugram</t>
        </is>
      </c>
      <c r="E216" s="5" t="inlineStr">
        <is>
          <t>P202</t>
        </is>
      </c>
      <c r="F216" s="5" t="inlineStr">
        <is>
          <t>Laptops</t>
        </is>
      </c>
      <c r="G216" s="5" t="n">
        <v>1</v>
      </c>
      <c r="H216" s="51" t="n">
        <v>94999</v>
      </c>
      <c r="I216" s="62" t="n">
        <v>0</v>
      </c>
      <c r="J216" s="5" t="inlineStr">
        <is>
          <t>Online</t>
        </is>
      </c>
      <c r="K216" s="5" t="inlineStr">
        <is>
          <t>Yes</t>
        </is>
      </c>
      <c r="L216" s="51">
        <f>G216*H216*(1-I216)</f>
        <v/>
      </c>
      <c r="M216" s="51">
        <f>G216*INDEX(Lookups!$E$3:$E$12,MATCH(E216,Lookups!$A$3:$A$12,0))</f>
        <v/>
      </c>
      <c r="N216" s="51">
        <f>L216-M216</f>
        <v/>
      </c>
      <c r="O216" s="2" t="n"/>
      <c r="P216" s="2" t="n"/>
    </row>
    <row r="217">
      <c r="A217" s="5" t="inlineStr">
        <is>
          <t>ORD-0105</t>
        </is>
      </c>
      <c r="B217" s="50" t="n">
        <v>46216</v>
      </c>
      <c r="C217" s="5" t="inlineStr">
        <is>
          <t>S05</t>
        </is>
      </c>
      <c r="D217" s="5" t="inlineStr">
        <is>
          <t>Chennai</t>
        </is>
      </c>
      <c r="E217" s="5" t="inlineStr">
        <is>
          <t>P301</t>
        </is>
      </c>
      <c r="F217" s="5" t="inlineStr">
        <is>
          <t>Audio</t>
        </is>
      </c>
      <c r="G217" s="5" t="n">
        <v>1</v>
      </c>
      <c r="H217" s="51" t="n">
        <v>2999</v>
      </c>
      <c r="I217" s="62" t="n">
        <v>0.1</v>
      </c>
      <c r="J217" s="5" t="inlineStr">
        <is>
          <t>Online</t>
        </is>
      </c>
      <c r="K217" s="5" t="inlineStr">
        <is>
          <t>No</t>
        </is>
      </c>
      <c r="L217" s="51">
        <f>G217*H217*(1-I217)</f>
        <v/>
      </c>
      <c r="M217" s="51">
        <f>G217*INDEX(Lookups!$E$3:$E$12,MATCH(E217,Lookups!$A$3:$A$12,0))</f>
        <v/>
      </c>
      <c r="N217" s="51">
        <f>L217-M217</f>
        <v/>
      </c>
      <c r="O217" s="2" t="n"/>
      <c r="P217" s="2" t="n"/>
    </row>
    <row r="218">
      <c r="A218" s="5" t="inlineStr">
        <is>
          <t>ORD-0242</t>
        </is>
      </c>
      <c r="B218" s="50" t="n">
        <v>46216</v>
      </c>
      <c r="C218" s="5" t="inlineStr">
        <is>
          <t>S02</t>
        </is>
      </c>
      <c r="D218" s="5" t="inlineStr">
        <is>
          <t>Pune</t>
        </is>
      </c>
      <c r="E218" s="5" t="inlineStr">
        <is>
          <t>P301</t>
        </is>
      </c>
      <c r="F218" s="5" t="inlineStr">
        <is>
          <t>Audio</t>
        </is>
      </c>
      <c r="G218" s="5" t="n">
        <v>1</v>
      </c>
      <c r="H218" s="51" t="n">
        <v>2999</v>
      </c>
      <c r="I218" s="62" t="n">
        <v>0</v>
      </c>
      <c r="J218" s="5" t="inlineStr">
        <is>
          <t>Online</t>
        </is>
      </c>
      <c r="K218" s="5" t="inlineStr">
        <is>
          <t>No</t>
        </is>
      </c>
      <c r="L218" s="51">
        <f>G218*H218*(1-I218)</f>
        <v/>
      </c>
      <c r="M218" s="51">
        <f>G218*INDEX(Lookups!$E$3:$E$12,MATCH(E218,Lookups!$A$3:$A$12,0))</f>
        <v/>
      </c>
      <c r="N218" s="51">
        <f>L218-M218</f>
        <v/>
      </c>
      <c r="O218" s="2" t="n"/>
      <c r="P218" s="2" t="n"/>
    </row>
    <row r="219">
      <c r="A219" s="5" t="inlineStr">
        <is>
          <t>ORD-0265</t>
        </is>
      </c>
      <c r="B219" s="50" t="n">
        <v>46216</v>
      </c>
      <c r="C219" s="5" t="inlineStr">
        <is>
          <t>S03</t>
        </is>
      </c>
      <c r="D219" s="5" t="inlineStr">
        <is>
          <t>Delhi</t>
        </is>
      </c>
      <c r="E219" s="5" t="inlineStr">
        <is>
          <t>P402</t>
        </is>
      </c>
      <c r="F219" s="5" t="inlineStr">
        <is>
          <t>Accessories</t>
        </is>
      </c>
      <c r="G219" s="5" t="n">
        <v>1</v>
      </c>
      <c r="H219" s="51" t="n">
        <v>1499</v>
      </c>
      <c r="I219" s="62" t="n">
        <v>0</v>
      </c>
      <c r="J219" s="5" t="inlineStr">
        <is>
          <t>Corporate</t>
        </is>
      </c>
      <c r="K219" s="5" t="inlineStr">
        <is>
          <t>No</t>
        </is>
      </c>
      <c r="L219" s="51">
        <f>G219*H219*(1-I219)</f>
        <v/>
      </c>
      <c r="M219" s="51">
        <f>G219*INDEX(Lookups!$E$3:$E$12,MATCH(E219,Lookups!$A$3:$A$12,0))</f>
        <v/>
      </c>
      <c r="N219" s="51">
        <f>L219-M219</f>
        <v/>
      </c>
      <c r="O219" s="2" t="n"/>
      <c r="P219" s="2" t="n"/>
    </row>
    <row r="220">
      <c r="A220" s="5" t="inlineStr">
        <is>
          <t>ORD-0387</t>
        </is>
      </c>
      <c r="B220" s="50" t="n">
        <v>46216</v>
      </c>
      <c r="C220" s="5" t="inlineStr">
        <is>
          <t>S05</t>
        </is>
      </c>
      <c r="D220" s="5" t="inlineStr">
        <is>
          <t>Chennai</t>
        </is>
      </c>
      <c r="E220" s="5" t="inlineStr">
        <is>
          <t>P402</t>
        </is>
      </c>
      <c r="F220" s="5" t="inlineStr">
        <is>
          <t>Accessories</t>
        </is>
      </c>
      <c r="G220" s="5" t="n">
        <v>2</v>
      </c>
      <c r="H220" s="51" t="n">
        <v>1499</v>
      </c>
      <c r="I220" s="62" t="n">
        <v>0.05</v>
      </c>
      <c r="J220" s="5" t="inlineStr">
        <is>
          <t>Corporate</t>
        </is>
      </c>
      <c r="K220" s="5" t="inlineStr">
        <is>
          <t>No</t>
        </is>
      </c>
      <c r="L220" s="51">
        <f>G220*H220*(1-I220)</f>
        <v/>
      </c>
      <c r="M220" s="51">
        <f>G220*INDEX(Lookups!$E$3:$E$12,MATCH(E220,Lookups!$A$3:$A$12,0))</f>
        <v/>
      </c>
      <c r="N220" s="51">
        <f>L220-M220</f>
        <v/>
      </c>
      <c r="O220" s="2" t="n"/>
      <c r="P220" s="2" t="n"/>
    </row>
    <row r="221">
      <c r="A221" s="5" t="inlineStr">
        <is>
          <t>ORD-0312</t>
        </is>
      </c>
      <c r="B221" s="50" t="n">
        <v>46217</v>
      </c>
      <c r="C221" s="5" t="inlineStr">
        <is>
          <t>S03</t>
        </is>
      </c>
      <c r="D221" s="5" t="inlineStr">
        <is>
          <t>Delhi</t>
        </is>
      </c>
      <c r="E221" s="5" t="inlineStr">
        <is>
          <t>P101</t>
        </is>
      </c>
      <c r="F221" s="5" t="inlineStr">
        <is>
          <t>Mobiles</t>
        </is>
      </c>
      <c r="G221" s="5" t="n">
        <v>1</v>
      </c>
      <c r="H221" s="51" t="n">
        <v>18999</v>
      </c>
      <c r="I221" s="62" t="n">
        <v>0</v>
      </c>
      <c r="J221" s="5" t="inlineStr">
        <is>
          <t>Online</t>
        </is>
      </c>
      <c r="K221" s="5" t="inlineStr">
        <is>
          <t>No</t>
        </is>
      </c>
      <c r="L221" s="51">
        <f>G221*H221*(1-I221)</f>
        <v/>
      </c>
      <c r="M221" s="51">
        <f>G221*INDEX(Lookups!$E$3:$E$12,MATCH(E221,Lookups!$A$3:$A$12,0))</f>
        <v/>
      </c>
      <c r="N221" s="51">
        <f>L221-M221</f>
        <v/>
      </c>
      <c r="O221" s="2" t="n"/>
      <c r="P221" s="2" t="n"/>
    </row>
    <row r="222">
      <c r="A222" s="5" t="inlineStr">
        <is>
          <t>ORD-0101</t>
        </is>
      </c>
      <c r="B222" s="50" t="n">
        <v>46218</v>
      </c>
      <c r="C222" s="5" t="inlineStr">
        <is>
          <t>S06</t>
        </is>
      </c>
      <c r="D222" s="5" t="inlineStr">
        <is>
          <t>Gurugram</t>
        </is>
      </c>
      <c r="E222" s="5" t="inlineStr">
        <is>
          <t>P101</t>
        </is>
      </c>
      <c r="F222" s="5" t="inlineStr">
        <is>
          <t>Mobiles</t>
        </is>
      </c>
      <c r="G222" s="5" t="n">
        <v>1</v>
      </c>
      <c r="H222" s="51" t="n">
        <v>18999</v>
      </c>
      <c r="I222" s="62" t="n">
        <v>0.05</v>
      </c>
      <c r="J222" s="5" t="inlineStr">
        <is>
          <t>Online</t>
        </is>
      </c>
      <c r="K222" s="5" t="inlineStr">
        <is>
          <t>No</t>
        </is>
      </c>
      <c r="L222" s="51">
        <f>G222*H222*(1-I222)</f>
        <v/>
      </c>
      <c r="M222" s="51">
        <f>G222*INDEX(Lookups!$E$3:$E$12,MATCH(E222,Lookups!$A$3:$A$12,0))</f>
        <v/>
      </c>
      <c r="N222" s="51">
        <f>L222-M222</f>
        <v/>
      </c>
      <c r="O222" s="2" t="n"/>
      <c r="P222" s="2" t="n"/>
    </row>
    <row r="223">
      <c r="A223" s="5" t="inlineStr">
        <is>
          <t>ORD-0234</t>
        </is>
      </c>
      <c r="B223" s="50" t="n">
        <v>46218</v>
      </c>
      <c r="C223" s="5" t="inlineStr">
        <is>
          <t>S04</t>
        </is>
      </c>
      <c r="D223" s="5" t="inlineStr">
        <is>
          <t>Bengaluru</t>
        </is>
      </c>
      <c r="E223" s="5" t="inlineStr">
        <is>
          <t>P401</t>
        </is>
      </c>
      <c r="F223" s="5" t="inlineStr">
        <is>
          <t>Accessories</t>
        </is>
      </c>
      <c r="G223" s="5" t="n">
        <v>1</v>
      </c>
      <c r="H223" s="51" t="n">
        <v>1799</v>
      </c>
      <c r="I223" s="62" t="n">
        <v>0</v>
      </c>
      <c r="J223" s="5" t="inlineStr">
        <is>
          <t>Online</t>
        </is>
      </c>
      <c r="K223" s="5" t="inlineStr">
        <is>
          <t>Yes</t>
        </is>
      </c>
      <c r="L223" s="51">
        <f>G223*H223*(1-I223)</f>
        <v/>
      </c>
      <c r="M223" s="51">
        <f>G223*INDEX(Lookups!$E$3:$E$12,MATCH(E223,Lookups!$A$3:$A$12,0))</f>
        <v/>
      </c>
      <c r="N223" s="51">
        <f>L223-M223</f>
        <v/>
      </c>
      <c r="O223" s="2" t="n"/>
      <c r="P223" s="2" t="n"/>
    </row>
    <row r="224">
      <c r="A224" s="5" t="inlineStr">
        <is>
          <t>ORD-0007</t>
        </is>
      </c>
      <c r="B224" s="50" t="n">
        <v>46221</v>
      </c>
      <c r="C224" s="5" t="inlineStr">
        <is>
          <t>S03</t>
        </is>
      </c>
      <c r="D224" s="5" t="inlineStr">
        <is>
          <t>Delhi</t>
        </is>
      </c>
      <c r="E224" s="5" t="inlineStr">
        <is>
          <t>P401</t>
        </is>
      </c>
      <c r="F224" s="5" t="inlineStr">
        <is>
          <t>Accessories</t>
        </is>
      </c>
      <c r="G224" s="5" t="n">
        <v>1</v>
      </c>
      <c r="H224" s="51" t="n">
        <v>1799</v>
      </c>
      <c r="I224" s="62" t="n">
        <v>0</v>
      </c>
      <c r="J224" s="5" t="inlineStr">
        <is>
          <t>Walk-in</t>
        </is>
      </c>
      <c r="K224" s="5" t="inlineStr">
        <is>
          <t>No</t>
        </is>
      </c>
      <c r="L224" s="51">
        <f>G224*H224*(1-I224)</f>
        <v/>
      </c>
      <c r="M224" s="51">
        <f>G224*INDEX(Lookups!$E$3:$E$12,MATCH(E224,Lookups!$A$3:$A$12,0))</f>
        <v/>
      </c>
      <c r="N224" s="51">
        <f>L224-M224</f>
        <v/>
      </c>
      <c r="O224" s="2" t="n"/>
      <c r="P224" s="2" t="n"/>
    </row>
    <row r="225">
      <c r="A225" s="5" t="inlineStr">
        <is>
          <t>ORD-0202</t>
        </is>
      </c>
      <c r="B225" s="50" t="n">
        <v>46221</v>
      </c>
      <c r="C225" s="5" t="inlineStr">
        <is>
          <t>S05</t>
        </is>
      </c>
      <c r="D225" s="5" t="inlineStr">
        <is>
          <t>Chennai</t>
        </is>
      </c>
      <c r="E225" s="5" t="inlineStr">
        <is>
          <t>P302</t>
        </is>
      </c>
      <c r="F225" s="5" t="inlineStr">
        <is>
          <t>Audio</t>
        </is>
      </c>
      <c r="G225" s="5" t="n">
        <v>1</v>
      </c>
      <c r="H225" s="51" t="n">
        <v>4499</v>
      </c>
      <c r="I225" s="62" t="n">
        <v>0.1</v>
      </c>
      <c r="J225" s="5" t="inlineStr">
        <is>
          <t>Online</t>
        </is>
      </c>
      <c r="K225" s="5" t="inlineStr">
        <is>
          <t>Yes</t>
        </is>
      </c>
      <c r="L225" s="51">
        <f>G225*H225*(1-I225)</f>
        <v/>
      </c>
      <c r="M225" s="51">
        <f>G225*INDEX(Lookups!$E$3:$E$12,MATCH(E225,Lookups!$A$3:$A$12,0))</f>
        <v/>
      </c>
      <c r="N225" s="51">
        <f>L225-M225</f>
        <v/>
      </c>
      <c r="O225" s="2" t="n"/>
      <c r="P225" s="2" t="n"/>
    </row>
    <row r="226">
      <c r="A226" s="5" t="inlineStr">
        <is>
          <t>ORD-0398</t>
        </is>
      </c>
      <c r="B226" s="50" t="n">
        <v>46221</v>
      </c>
      <c r="C226" s="5" t="inlineStr">
        <is>
          <t>S06</t>
        </is>
      </c>
      <c r="D226" s="5" t="inlineStr">
        <is>
          <t>Gurugram</t>
        </is>
      </c>
      <c r="E226" s="5" t="inlineStr">
        <is>
          <t>P101</t>
        </is>
      </c>
      <c r="F226" s="5" t="inlineStr">
        <is>
          <t>Mobiles</t>
        </is>
      </c>
      <c r="G226" s="5" t="n">
        <v>2</v>
      </c>
      <c r="H226" s="51" t="n">
        <v>18999</v>
      </c>
      <c r="I226" s="62" t="n">
        <v>0</v>
      </c>
      <c r="J226" s="5" t="inlineStr">
        <is>
          <t>Online</t>
        </is>
      </c>
      <c r="K226" s="5" t="inlineStr">
        <is>
          <t>No</t>
        </is>
      </c>
      <c r="L226" s="51">
        <f>G226*H226*(1-I226)</f>
        <v/>
      </c>
      <c r="M226" s="51">
        <f>G226*INDEX(Lookups!$E$3:$E$12,MATCH(E226,Lookups!$A$3:$A$12,0))</f>
        <v/>
      </c>
      <c r="N226" s="51">
        <f>L226-M226</f>
        <v/>
      </c>
      <c r="O226" s="2" t="n"/>
      <c r="P226" s="2" t="n"/>
    </row>
    <row r="227">
      <c r="A227" s="5" t="inlineStr">
        <is>
          <t>ORD-0016</t>
        </is>
      </c>
      <c r="B227" s="50" t="n">
        <v>46222</v>
      </c>
      <c r="C227" s="5" t="inlineStr">
        <is>
          <t>S01</t>
        </is>
      </c>
      <c r="D227" s="5" t="inlineStr">
        <is>
          <t>Mumbai</t>
        </is>
      </c>
      <c r="E227" s="5" t="inlineStr">
        <is>
          <t>P201</t>
        </is>
      </c>
      <c r="F227" s="5" t="inlineStr">
        <is>
          <t>Laptops</t>
        </is>
      </c>
      <c r="G227" s="5" t="n">
        <v>3</v>
      </c>
      <c r="H227" s="51" t="n">
        <v>54999</v>
      </c>
      <c r="I227" s="62" t="n">
        <v>0</v>
      </c>
      <c r="J227" s="5" t="inlineStr">
        <is>
          <t>Corporate</t>
        </is>
      </c>
      <c r="K227" s="5" t="inlineStr">
        <is>
          <t>Yes</t>
        </is>
      </c>
      <c r="L227" s="51">
        <f>G227*H227*(1-I227)</f>
        <v/>
      </c>
      <c r="M227" s="51">
        <f>G227*INDEX(Lookups!$E$3:$E$12,MATCH(E227,Lookups!$A$3:$A$12,0))</f>
        <v/>
      </c>
      <c r="N227" s="51">
        <f>L227-M227</f>
        <v/>
      </c>
      <c r="O227" s="2" t="n"/>
      <c r="P227" s="2" t="n"/>
    </row>
    <row r="228">
      <c r="A228" s="5" t="inlineStr">
        <is>
          <t>ORD-0272</t>
        </is>
      </c>
      <c r="B228" s="50" t="n">
        <v>46223</v>
      </c>
      <c r="C228" s="5" t="inlineStr">
        <is>
          <t>S04</t>
        </is>
      </c>
      <c r="D228" s="5" t="inlineStr">
        <is>
          <t>Bengaluru</t>
        </is>
      </c>
      <c r="E228" s="5" t="inlineStr">
        <is>
          <t>P102</t>
        </is>
      </c>
      <c r="F228" s="5" t="inlineStr">
        <is>
          <t>Mobiles</t>
        </is>
      </c>
      <c r="G228" s="5" t="n">
        <v>2</v>
      </c>
      <c r="H228" s="51" t="n">
        <v>32999</v>
      </c>
      <c r="I228" s="62" t="n">
        <v>0.1</v>
      </c>
      <c r="J228" s="5" t="inlineStr">
        <is>
          <t>Corporate</t>
        </is>
      </c>
      <c r="K228" s="5" t="inlineStr">
        <is>
          <t>No</t>
        </is>
      </c>
      <c r="L228" s="51">
        <f>G228*H228*(1-I228)</f>
        <v/>
      </c>
      <c r="M228" s="51">
        <f>G228*INDEX(Lookups!$E$3:$E$12,MATCH(E228,Lookups!$A$3:$A$12,0))</f>
        <v/>
      </c>
      <c r="N228" s="51">
        <f>L228-M228</f>
        <v/>
      </c>
      <c r="O228" s="2" t="n"/>
      <c r="P228" s="2" t="n"/>
    </row>
    <row r="229">
      <c r="A229" s="5" t="inlineStr">
        <is>
          <t>ORD-0316</t>
        </is>
      </c>
      <c r="B229" s="50" t="n">
        <v>46223</v>
      </c>
      <c r="C229" s="5" t="inlineStr">
        <is>
          <t>S05</t>
        </is>
      </c>
      <c r="D229" s="5" t="inlineStr">
        <is>
          <t>Chennai</t>
        </is>
      </c>
      <c r="E229" s="5" t="inlineStr">
        <is>
          <t>P102</t>
        </is>
      </c>
      <c r="F229" s="5" t="inlineStr">
        <is>
          <t>Mobiles</t>
        </is>
      </c>
      <c r="G229" s="5" t="n">
        <v>1</v>
      </c>
      <c r="H229" s="51" t="n">
        <v>32999</v>
      </c>
      <c r="I229" s="62" t="n">
        <v>0</v>
      </c>
      <c r="J229" s="5" t="inlineStr">
        <is>
          <t>Corporate</t>
        </is>
      </c>
      <c r="K229" s="5" t="inlineStr">
        <is>
          <t>Yes</t>
        </is>
      </c>
      <c r="L229" s="51">
        <f>G229*H229*(1-I229)</f>
        <v/>
      </c>
      <c r="M229" s="51">
        <f>G229*INDEX(Lookups!$E$3:$E$12,MATCH(E229,Lookups!$A$3:$A$12,0))</f>
        <v/>
      </c>
      <c r="N229" s="51">
        <f>L229-M229</f>
        <v/>
      </c>
      <c r="O229" s="2" t="n"/>
      <c r="P229" s="2" t="n"/>
    </row>
    <row r="230">
      <c r="A230" s="5" t="inlineStr">
        <is>
          <t>ORD-0365</t>
        </is>
      </c>
      <c r="B230" s="50" t="n">
        <v>46223</v>
      </c>
      <c r="C230" s="5" t="inlineStr">
        <is>
          <t>S03</t>
        </is>
      </c>
      <c r="D230" s="5" t="inlineStr">
        <is>
          <t>Delhi</t>
        </is>
      </c>
      <c r="E230" s="5" t="inlineStr">
        <is>
          <t>P501</t>
        </is>
      </c>
      <c r="F230" s="5" t="inlineStr">
        <is>
          <t>TV</t>
        </is>
      </c>
      <c r="G230" s="5" t="n">
        <v>3</v>
      </c>
      <c r="H230" s="51" t="n">
        <v>32999</v>
      </c>
      <c r="I230" s="62" t="n">
        <v>0.1</v>
      </c>
      <c r="J230" s="5" t="inlineStr">
        <is>
          <t>Corporate</t>
        </is>
      </c>
      <c r="K230" s="5" t="inlineStr">
        <is>
          <t>No</t>
        </is>
      </c>
      <c r="L230" s="51">
        <f>G230*H230*(1-I230)</f>
        <v/>
      </c>
      <c r="M230" s="51">
        <f>G230*INDEX(Lookups!$E$3:$E$12,MATCH(E230,Lookups!$A$3:$A$12,0))</f>
        <v/>
      </c>
      <c r="N230" s="51">
        <f>L230-M230</f>
        <v/>
      </c>
      <c r="O230" s="2" t="n"/>
      <c r="P230" s="2" t="n"/>
    </row>
    <row r="231">
      <c r="A231" s="5" t="inlineStr">
        <is>
          <t>ORD-0013</t>
        </is>
      </c>
      <c r="B231" s="50" t="n">
        <v>46224</v>
      </c>
      <c r="C231" s="5" t="inlineStr">
        <is>
          <t>S02</t>
        </is>
      </c>
      <c r="D231" s="5" t="inlineStr">
        <is>
          <t>Pune</t>
        </is>
      </c>
      <c r="E231" s="5" t="inlineStr">
        <is>
          <t>P301</t>
        </is>
      </c>
      <c r="F231" s="5" t="inlineStr">
        <is>
          <t>Audio</t>
        </is>
      </c>
      <c r="G231" s="5" t="n">
        <v>1</v>
      </c>
      <c r="H231" s="51" t="n">
        <v>2999</v>
      </c>
      <c r="I231" s="62" t="n">
        <v>0</v>
      </c>
      <c r="J231" s="5" t="inlineStr">
        <is>
          <t>Walk-in</t>
        </is>
      </c>
      <c r="K231" s="5" t="inlineStr">
        <is>
          <t>Yes</t>
        </is>
      </c>
      <c r="L231" s="51">
        <f>G231*H231*(1-I231)</f>
        <v/>
      </c>
      <c r="M231" s="51">
        <f>G231*INDEX(Lookups!$E$3:$E$12,MATCH(E231,Lookups!$A$3:$A$12,0))</f>
        <v/>
      </c>
      <c r="N231" s="51">
        <f>L231-M231</f>
        <v/>
      </c>
      <c r="O231" s="2" t="n"/>
      <c r="P231" s="2" t="n"/>
    </row>
    <row r="232">
      <c r="A232" s="5" t="inlineStr">
        <is>
          <t>ORD-0141</t>
        </is>
      </c>
      <c r="B232" s="50" t="n">
        <v>46224</v>
      </c>
      <c r="C232" s="5" t="inlineStr">
        <is>
          <t>S03</t>
        </is>
      </c>
      <c r="D232" s="5" t="inlineStr">
        <is>
          <t>Delhi</t>
        </is>
      </c>
      <c r="E232" s="5" t="inlineStr">
        <is>
          <t>P301</t>
        </is>
      </c>
      <c r="F232" s="5" t="inlineStr">
        <is>
          <t>Audio</t>
        </is>
      </c>
      <c r="G232" s="5" t="n">
        <v>3</v>
      </c>
      <c r="H232" s="51" t="n">
        <v>2999</v>
      </c>
      <c r="I232" s="62" t="n">
        <v>0.05</v>
      </c>
      <c r="J232" s="5" t="inlineStr">
        <is>
          <t>Corporate</t>
        </is>
      </c>
      <c r="K232" s="5" t="inlineStr">
        <is>
          <t>No</t>
        </is>
      </c>
      <c r="L232" s="51">
        <f>G232*H232*(1-I232)</f>
        <v/>
      </c>
      <c r="M232" s="51">
        <f>G232*INDEX(Lookups!$E$3:$E$12,MATCH(E232,Lookups!$A$3:$A$12,0))</f>
        <v/>
      </c>
      <c r="N232" s="51">
        <f>L232-M232</f>
        <v/>
      </c>
      <c r="O232" s="2" t="n"/>
      <c r="P232" s="2" t="n"/>
    </row>
    <row r="233">
      <c r="A233" s="5" t="inlineStr">
        <is>
          <t>ORD-0168</t>
        </is>
      </c>
      <c r="B233" s="50" t="n">
        <v>46224</v>
      </c>
      <c r="C233" s="5" t="inlineStr">
        <is>
          <t>S02</t>
        </is>
      </c>
      <c r="D233" s="5" t="inlineStr">
        <is>
          <t>Pune</t>
        </is>
      </c>
      <c r="E233" s="5" t="inlineStr">
        <is>
          <t>P401</t>
        </is>
      </c>
      <c r="F233" s="5" t="inlineStr">
        <is>
          <t>Accessories</t>
        </is>
      </c>
      <c r="G233" s="5" t="n">
        <v>2</v>
      </c>
      <c r="H233" s="51" t="n">
        <v>1799</v>
      </c>
      <c r="I233" s="62" t="n">
        <v>0.05</v>
      </c>
      <c r="J233" s="5" t="inlineStr">
        <is>
          <t>Online</t>
        </is>
      </c>
      <c r="K233" s="5" t="inlineStr">
        <is>
          <t>Yes</t>
        </is>
      </c>
      <c r="L233" s="51">
        <f>G233*H233*(1-I233)</f>
        <v/>
      </c>
      <c r="M233" s="51">
        <f>G233*INDEX(Lookups!$E$3:$E$12,MATCH(E233,Lookups!$A$3:$A$12,0))</f>
        <v/>
      </c>
      <c r="N233" s="51">
        <f>L233-M233</f>
        <v/>
      </c>
      <c r="O233" s="2" t="n"/>
      <c r="P233" s="2" t="n"/>
    </row>
    <row r="234">
      <c r="A234" s="5" t="inlineStr">
        <is>
          <t>ORD-0027</t>
        </is>
      </c>
      <c r="B234" s="50" t="n">
        <v>46225</v>
      </c>
      <c r="C234" s="5" t="inlineStr">
        <is>
          <t>S05</t>
        </is>
      </c>
      <c r="D234" s="5" t="inlineStr">
        <is>
          <t>Chennai</t>
        </is>
      </c>
      <c r="E234" s="5" t="inlineStr">
        <is>
          <t>P401</t>
        </is>
      </c>
      <c r="F234" s="5" t="inlineStr">
        <is>
          <t>Accessories</t>
        </is>
      </c>
      <c r="G234" s="5" t="n">
        <v>1</v>
      </c>
      <c r="H234" s="51" t="n">
        <v>1799</v>
      </c>
      <c r="I234" s="62" t="n">
        <v>0</v>
      </c>
      <c r="J234" s="5" t="inlineStr">
        <is>
          <t>Online</t>
        </is>
      </c>
      <c r="K234" s="5" t="inlineStr">
        <is>
          <t>No</t>
        </is>
      </c>
      <c r="L234" s="51">
        <f>G234*H234*(1-I234)</f>
        <v/>
      </c>
      <c r="M234" s="51">
        <f>G234*INDEX(Lookups!$E$3:$E$12,MATCH(E234,Lookups!$A$3:$A$12,0))</f>
        <v/>
      </c>
      <c r="N234" s="51">
        <f>L234-M234</f>
        <v/>
      </c>
      <c r="O234" s="2" t="n"/>
      <c r="P234" s="2" t="n"/>
    </row>
    <row r="235">
      <c r="A235" s="5" t="inlineStr">
        <is>
          <t>ORD-0204</t>
        </is>
      </c>
      <c r="B235" s="50" t="n">
        <v>46225</v>
      </c>
      <c r="C235" s="5" t="inlineStr">
        <is>
          <t>S02</t>
        </is>
      </c>
      <c r="D235" s="5" t="inlineStr">
        <is>
          <t>Pune</t>
        </is>
      </c>
      <c r="E235" s="5" t="inlineStr">
        <is>
          <t>P301</t>
        </is>
      </c>
      <c r="F235" s="5" t="inlineStr">
        <is>
          <t>Audio</t>
        </is>
      </c>
      <c r="G235" s="5" t="n">
        <v>1</v>
      </c>
      <c r="H235" s="51" t="n">
        <v>2999</v>
      </c>
      <c r="I235" s="62" t="n">
        <v>0.1</v>
      </c>
      <c r="J235" s="5" t="inlineStr">
        <is>
          <t>Walk-in</t>
        </is>
      </c>
      <c r="K235" s="5" t="inlineStr">
        <is>
          <t>No</t>
        </is>
      </c>
      <c r="L235" s="51">
        <f>G235*H235*(1-I235)</f>
        <v/>
      </c>
      <c r="M235" s="51">
        <f>G235*INDEX(Lookups!$E$3:$E$12,MATCH(E235,Lookups!$A$3:$A$12,0))</f>
        <v/>
      </c>
      <c r="N235" s="51">
        <f>L235-M235</f>
        <v/>
      </c>
      <c r="O235" s="2" t="n"/>
      <c r="P235" s="2" t="n"/>
    </row>
    <row r="236">
      <c r="A236" s="5" t="inlineStr">
        <is>
          <t>ORD-0205</t>
        </is>
      </c>
      <c r="B236" s="50" t="n">
        <v>46226</v>
      </c>
      <c r="C236" s="5" t="inlineStr">
        <is>
          <t>S03</t>
        </is>
      </c>
      <c r="D236" s="5" t="inlineStr">
        <is>
          <t>Delhi</t>
        </is>
      </c>
      <c r="E236" s="5" t="inlineStr">
        <is>
          <t>P102</t>
        </is>
      </c>
      <c r="F236" s="5" t="inlineStr">
        <is>
          <t>Mobiles</t>
        </is>
      </c>
      <c r="G236" s="5" t="n">
        <v>1</v>
      </c>
      <c r="H236" s="51" t="n">
        <v>32999</v>
      </c>
      <c r="I236" s="62" t="n">
        <v>0</v>
      </c>
      <c r="J236" s="5" t="inlineStr">
        <is>
          <t>Walk-in</t>
        </is>
      </c>
      <c r="K236" s="5" t="inlineStr">
        <is>
          <t>No</t>
        </is>
      </c>
      <c r="L236" s="51">
        <f>G236*H236*(1-I236)</f>
        <v/>
      </c>
      <c r="M236" s="51">
        <f>G236*INDEX(Lookups!$E$3:$E$12,MATCH(E236,Lookups!$A$3:$A$12,0))</f>
        <v/>
      </c>
      <c r="N236" s="51">
        <f>L236-M236</f>
        <v/>
      </c>
      <c r="O236" s="2" t="n"/>
      <c r="P236" s="2" t="n"/>
    </row>
    <row r="237">
      <c r="A237" s="5" t="inlineStr">
        <is>
          <t>ORD-0370</t>
        </is>
      </c>
      <c r="B237" s="50" t="n">
        <v>46226</v>
      </c>
      <c r="C237" s="5" t="inlineStr">
        <is>
          <t>S01</t>
        </is>
      </c>
      <c r="D237" s="5" t="inlineStr">
        <is>
          <t>Mumbai</t>
        </is>
      </c>
      <c r="E237" s="5" t="inlineStr">
        <is>
          <t>P402</t>
        </is>
      </c>
      <c r="F237" s="5" t="inlineStr">
        <is>
          <t>Accessories</t>
        </is>
      </c>
      <c r="G237" s="5" t="n">
        <v>1</v>
      </c>
      <c r="H237" s="51" t="n">
        <v>1499</v>
      </c>
      <c r="I237" s="62" t="n">
        <v>0</v>
      </c>
      <c r="J237" s="5" t="inlineStr">
        <is>
          <t>Corporate</t>
        </is>
      </c>
      <c r="K237" s="5" t="inlineStr">
        <is>
          <t>Yes</t>
        </is>
      </c>
      <c r="L237" s="51">
        <f>G237*H237*(1-I237)</f>
        <v/>
      </c>
      <c r="M237" s="51">
        <f>G237*INDEX(Lookups!$E$3:$E$12,MATCH(E237,Lookups!$A$3:$A$12,0))</f>
        <v/>
      </c>
      <c r="N237" s="51">
        <f>L237-M237</f>
        <v/>
      </c>
      <c r="O237" s="2" t="n"/>
      <c r="P237" s="2" t="n"/>
    </row>
    <row r="238">
      <c r="A238" s="5" t="inlineStr">
        <is>
          <t>ORD-0093</t>
        </is>
      </c>
      <c r="B238" s="50" t="n">
        <v>46227</v>
      </c>
      <c r="C238" s="5" t="inlineStr">
        <is>
          <t>S03</t>
        </is>
      </c>
      <c r="D238" s="5" t="inlineStr">
        <is>
          <t>Delhi</t>
        </is>
      </c>
      <c r="E238" s="5" t="inlineStr">
        <is>
          <t>P302</t>
        </is>
      </c>
      <c r="F238" s="5" t="inlineStr">
        <is>
          <t>Audio</t>
        </is>
      </c>
      <c r="G238" s="5" t="n">
        <v>1</v>
      </c>
      <c r="H238" s="51" t="n">
        <v>4499</v>
      </c>
      <c r="I238" s="62" t="n">
        <v>0</v>
      </c>
      <c r="J238" s="5" t="inlineStr">
        <is>
          <t>Online</t>
        </is>
      </c>
      <c r="K238" s="5" t="inlineStr">
        <is>
          <t>No</t>
        </is>
      </c>
      <c r="L238" s="51">
        <f>G238*H238*(1-I238)</f>
        <v/>
      </c>
      <c r="M238" s="51">
        <f>G238*INDEX(Lookups!$E$3:$E$12,MATCH(E238,Lookups!$A$3:$A$12,0))</f>
        <v/>
      </c>
      <c r="N238" s="51">
        <f>L238-M238</f>
        <v/>
      </c>
      <c r="O238" s="2" t="n"/>
      <c r="P238" s="2" t="n"/>
    </row>
    <row r="239">
      <c r="A239" s="5" t="inlineStr">
        <is>
          <t>ORD-0214</t>
        </is>
      </c>
      <c r="B239" s="50" t="n">
        <v>46227</v>
      </c>
      <c r="C239" s="5" t="inlineStr">
        <is>
          <t>S01</t>
        </is>
      </c>
      <c r="D239" s="5" t="inlineStr">
        <is>
          <t>Mumbai</t>
        </is>
      </c>
      <c r="E239" s="5" t="inlineStr">
        <is>
          <t>P201</t>
        </is>
      </c>
      <c r="F239" s="5" t="inlineStr">
        <is>
          <t>Laptops</t>
        </is>
      </c>
      <c r="G239" s="5" t="n">
        <v>1</v>
      </c>
      <c r="H239" s="51" t="n">
        <v>54999</v>
      </c>
      <c r="I239" s="62" t="n">
        <v>0.1</v>
      </c>
      <c r="J239" s="5" t="inlineStr">
        <is>
          <t>Online</t>
        </is>
      </c>
      <c r="K239" s="5" t="inlineStr">
        <is>
          <t>Yes</t>
        </is>
      </c>
      <c r="L239" s="51">
        <f>G239*H239*(1-I239)</f>
        <v/>
      </c>
      <c r="M239" s="51">
        <f>G239*INDEX(Lookups!$E$3:$E$12,MATCH(E239,Lookups!$A$3:$A$12,0))</f>
        <v/>
      </c>
      <c r="N239" s="51">
        <f>L239-M239</f>
        <v/>
      </c>
      <c r="O239" s="2" t="n"/>
      <c r="P239" s="2" t="n"/>
    </row>
    <row r="240">
      <c r="A240" s="5" t="inlineStr">
        <is>
          <t>ORD-0276</t>
        </is>
      </c>
      <c r="B240" s="50" t="n">
        <v>46227</v>
      </c>
      <c r="C240" s="5" t="inlineStr">
        <is>
          <t>S01</t>
        </is>
      </c>
      <c r="D240" s="5" t="inlineStr">
        <is>
          <t>Mumbai</t>
        </is>
      </c>
      <c r="E240" s="5" t="inlineStr">
        <is>
          <t>P302</t>
        </is>
      </c>
      <c r="F240" s="5" t="inlineStr">
        <is>
          <t>Audio</t>
        </is>
      </c>
      <c r="G240" s="5" t="n">
        <v>1</v>
      </c>
      <c r="H240" s="51" t="n">
        <v>4499</v>
      </c>
      <c r="I240" s="62" t="n">
        <v>0.1</v>
      </c>
      <c r="J240" s="5" t="inlineStr">
        <is>
          <t>Corporate</t>
        </is>
      </c>
      <c r="K240" s="5" t="inlineStr">
        <is>
          <t>Yes</t>
        </is>
      </c>
      <c r="L240" s="51">
        <f>G240*H240*(1-I240)</f>
        <v/>
      </c>
      <c r="M240" s="51">
        <f>G240*INDEX(Lookups!$E$3:$E$12,MATCH(E240,Lookups!$A$3:$A$12,0))</f>
        <v/>
      </c>
      <c r="N240" s="51">
        <f>L240-M240</f>
        <v/>
      </c>
      <c r="O240" s="2" t="n"/>
      <c r="P240" s="2" t="n"/>
    </row>
    <row r="241">
      <c r="A241" s="5" t="inlineStr">
        <is>
          <t>ORD-0160</t>
        </is>
      </c>
      <c r="B241" s="50" t="n">
        <v>46228</v>
      </c>
      <c r="C241" s="5" t="inlineStr">
        <is>
          <t>S02</t>
        </is>
      </c>
      <c r="D241" s="5" t="inlineStr">
        <is>
          <t>Pune</t>
        </is>
      </c>
      <c r="E241" s="5" t="inlineStr">
        <is>
          <t>P301</t>
        </is>
      </c>
      <c r="F241" s="5" t="inlineStr">
        <is>
          <t>Audio</t>
        </is>
      </c>
      <c r="G241" s="5" t="n">
        <v>1</v>
      </c>
      <c r="H241" s="51" t="n">
        <v>2999</v>
      </c>
      <c r="I241" s="62" t="n">
        <v>0</v>
      </c>
      <c r="J241" s="5" t="inlineStr">
        <is>
          <t>Walk-in</t>
        </is>
      </c>
      <c r="K241" s="5" t="inlineStr">
        <is>
          <t>No</t>
        </is>
      </c>
      <c r="L241" s="51">
        <f>G241*H241*(1-I241)</f>
        <v/>
      </c>
      <c r="M241" s="51">
        <f>G241*INDEX(Lookups!$E$3:$E$12,MATCH(E241,Lookups!$A$3:$A$12,0))</f>
        <v/>
      </c>
      <c r="N241" s="51">
        <f>L241-M241</f>
        <v/>
      </c>
      <c r="O241" s="2" t="n"/>
      <c r="P241" s="2" t="n"/>
    </row>
    <row r="242">
      <c r="A242" s="5" t="inlineStr">
        <is>
          <t>ORD-0300</t>
        </is>
      </c>
      <c r="B242" s="50" t="n">
        <v>46228</v>
      </c>
      <c r="C242" s="5" t="inlineStr">
        <is>
          <t>S02</t>
        </is>
      </c>
      <c r="D242" s="5" t="inlineStr">
        <is>
          <t>Pune</t>
        </is>
      </c>
      <c r="E242" s="5" t="inlineStr">
        <is>
          <t>P402</t>
        </is>
      </c>
      <c r="F242" s="5" t="inlineStr">
        <is>
          <t>Accessories</t>
        </is>
      </c>
      <c r="G242" s="5" t="n">
        <v>4</v>
      </c>
      <c r="H242" s="51" t="n">
        <v>1499</v>
      </c>
      <c r="I242" s="62" t="n">
        <v>0</v>
      </c>
      <c r="J242" s="5" t="inlineStr">
        <is>
          <t>Online</t>
        </is>
      </c>
      <c r="K242" s="5" t="inlineStr">
        <is>
          <t>No</t>
        </is>
      </c>
      <c r="L242" s="51">
        <f>G242*H242*(1-I242)</f>
        <v/>
      </c>
      <c r="M242" s="51">
        <f>G242*INDEX(Lookups!$E$3:$E$12,MATCH(E242,Lookups!$A$3:$A$12,0))</f>
        <v/>
      </c>
      <c r="N242" s="51">
        <f>L242-M242</f>
        <v/>
      </c>
      <c r="O242" s="2" t="n"/>
      <c r="P242" s="2" t="n"/>
    </row>
    <row r="243">
      <c r="A243" s="5" t="inlineStr">
        <is>
          <t>ORD-0347</t>
        </is>
      </c>
      <c r="B243" s="50" t="n">
        <v>46228</v>
      </c>
      <c r="C243" s="5" t="inlineStr">
        <is>
          <t>S05</t>
        </is>
      </c>
      <c r="D243" s="5" t="inlineStr">
        <is>
          <t>Chennai</t>
        </is>
      </c>
      <c r="E243" s="5" t="inlineStr">
        <is>
          <t>P401</t>
        </is>
      </c>
      <c r="F243" s="5" t="inlineStr">
        <is>
          <t>Accessories</t>
        </is>
      </c>
      <c r="G243" s="5" t="n">
        <v>3</v>
      </c>
      <c r="H243" s="51" t="n">
        <v>1799</v>
      </c>
      <c r="I243" s="62" t="n">
        <v>0.1</v>
      </c>
      <c r="J243" s="5" t="inlineStr">
        <is>
          <t>Online</t>
        </is>
      </c>
      <c r="K243" s="5" t="inlineStr">
        <is>
          <t>No</t>
        </is>
      </c>
      <c r="L243" s="51">
        <f>G243*H243*(1-I243)</f>
        <v/>
      </c>
      <c r="M243" s="51">
        <f>G243*INDEX(Lookups!$E$3:$E$12,MATCH(E243,Lookups!$A$3:$A$12,0))</f>
        <v/>
      </c>
      <c r="N243" s="51">
        <f>L243-M243</f>
        <v/>
      </c>
      <c r="O243" s="2" t="n"/>
      <c r="P243" s="2" t="n"/>
    </row>
    <row r="244">
      <c r="A244" s="5" t="inlineStr">
        <is>
          <t>ORD-0388</t>
        </is>
      </c>
      <c r="B244" s="50" t="n">
        <v>46229</v>
      </c>
      <c r="C244" s="5" t="inlineStr">
        <is>
          <t>S01</t>
        </is>
      </c>
      <c r="D244" s="5" t="inlineStr">
        <is>
          <t>Mumbai</t>
        </is>
      </c>
      <c r="E244" s="5" t="inlineStr">
        <is>
          <t>P301</t>
        </is>
      </c>
      <c r="F244" s="5" t="inlineStr">
        <is>
          <t>Audio</t>
        </is>
      </c>
      <c r="G244" s="5" t="n">
        <v>3</v>
      </c>
      <c r="H244" s="51" t="n">
        <v>2999</v>
      </c>
      <c r="I244" s="62" t="n">
        <v>0</v>
      </c>
      <c r="J244" s="5" t="inlineStr">
        <is>
          <t>Online</t>
        </is>
      </c>
      <c r="K244" s="5" t="inlineStr">
        <is>
          <t>Yes</t>
        </is>
      </c>
      <c r="L244" s="51">
        <f>G244*H244*(1-I244)</f>
        <v/>
      </c>
      <c r="M244" s="51">
        <f>G244*INDEX(Lookups!$E$3:$E$12,MATCH(E244,Lookups!$A$3:$A$12,0))</f>
        <v/>
      </c>
      <c r="N244" s="51">
        <f>L244-M244</f>
        <v/>
      </c>
      <c r="O244" s="2" t="n"/>
      <c r="P244" s="2" t="n"/>
    </row>
    <row r="245">
      <c r="A245" s="5" t="inlineStr">
        <is>
          <t>ORD-0011</t>
        </is>
      </c>
      <c r="B245" s="50" t="n">
        <v>46230</v>
      </c>
      <c r="C245" s="5" t="inlineStr">
        <is>
          <t>S04</t>
        </is>
      </c>
      <c r="D245" s="5" t="inlineStr">
        <is>
          <t>Bengaluru</t>
        </is>
      </c>
      <c r="E245" s="5" t="inlineStr">
        <is>
          <t>P101</t>
        </is>
      </c>
      <c r="F245" s="5" t="inlineStr">
        <is>
          <t>Mobiles</t>
        </is>
      </c>
      <c r="G245" s="5" t="n">
        <v>1</v>
      </c>
      <c r="H245" s="51" t="n">
        <v>18999</v>
      </c>
      <c r="I245" s="62" t="n">
        <v>0</v>
      </c>
      <c r="J245" s="5" t="inlineStr">
        <is>
          <t>Walk-in</t>
        </is>
      </c>
      <c r="K245" s="5" t="inlineStr">
        <is>
          <t>Yes</t>
        </is>
      </c>
      <c r="L245" s="51">
        <f>G245*H245*(1-I245)</f>
        <v/>
      </c>
      <c r="M245" s="51">
        <f>G245*INDEX(Lookups!$E$3:$E$12,MATCH(E245,Lookups!$A$3:$A$12,0))</f>
        <v/>
      </c>
      <c r="N245" s="51">
        <f>L245-M245</f>
        <v/>
      </c>
      <c r="O245" s="2" t="n"/>
      <c r="P245" s="2" t="n"/>
    </row>
    <row r="246">
      <c r="A246" s="5" t="inlineStr">
        <is>
          <t>ORD-0112</t>
        </is>
      </c>
      <c r="B246" s="50" t="n">
        <v>46230</v>
      </c>
      <c r="C246" s="5" t="inlineStr">
        <is>
          <t>S06</t>
        </is>
      </c>
      <c r="D246" s="5" t="inlineStr">
        <is>
          <t>Gurugram</t>
        </is>
      </c>
      <c r="E246" s="5" t="inlineStr">
        <is>
          <t>P101</t>
        </is>
      </c>
      <c r="F246" s="5" t="inlineStr">
        <is>
          <t>Mobiles</t>
        </is>
      </c>
      <c r="G246" s="5" t="n">
        <v>3</v>
      </c>
      <c r="H246" s="51" t="n">
        <v>18999</v>
      </c>
      <c r="I246" s="62" t="n">
        <v>0.05</v>
      </c>
      <c r="J246" s="5" t="inlineStr">
        <is>
          <t>Corporate</t>
        </is>
      </c>
      <c r="K246" s="5" t="inlineStr">
        <is>
          <t>No</t>
        </is>
      </c>
      <c r="L246" s="51">
        <f>G246*H246*(1-I246)</f>
        <v/>
      </c>
      <c r="M246" s="51">
        <f>G246*INDEX(Lookups!$E$3:$E$12,MATCH(E246,Lookups!$A$3:$A$12,0))</f>
        <v/>
      </c>
      <c r="N246" s="51">
        <f>L246-M246</f>
        <v/>
      </c>
      <c r="O246" s="2" t="n"/>
      <c r="P246" s="2" t="n"/>
    </row>
    <row r="247">
      <c r="A247" s="5" t="inlineStr">
        <is>
          <t>ORD-0349</t>
        </is>
      </c>
      <c r="B247" s="50" t="n">
        <v>46230</v>
      </c>
      <c r="C247" s="5" t="inlineStr">
        <is>
          <t>S06</t>
        </is>
      </c>
      <c r="D247" s="5" t="inlineStr">
        <is>
          <t>Gurugram</t>
        </is>
      </c>
      <c r="E247" s="5" t="inlineStr">
        <is>
          <t>P402</t>
        </is>
      </c>
      <c r="F247" s="5" t="inlineStr">
        <is>
          <t>Accessories</t>
        </is>
      </c>
      <c r="G247" s="5" t="n">
        <v>2</v>
      </c>
      <c r="H247" s="51" t="n">
        <v>1499</v>
      </c>
      <c r="I247" s="62" t="n">
        <v>0.1</v>
      </c>
      <c r="J247" s="5" t="inlineStr">
        <is>
          <t>Corporate</t>
        </is>
      </c>
      <c r="K247" s="5" t="inlineStr">
        <is>
          <t>No</t>
        </is>
      </c>
      <c r="L247" s="51">
        <f>G247*H247*(1-I247)</f>
        <v/>
      </c>
      <c r="M247" s="51">
        <f>G247*INDEX(Lookups!$E$3:$E$12,MATCH(E247,Lookups!$A$3:$A$12,0))</f>
        <v/>
      </c>
      <c r="N247" s="51">
        <f>L247-M247</f>
        <v/>
      </c>
      <c r="O247" s="2" t="n"/>
      <c r="P247" s="2" t="n"/>
    </row>
    <row r="248">
      <c r="A248" s="5" t="inlineStr">
        <is>
          <t>ORD-0100</t>
        </is>
      </c>
      <c r="B248" s="50" t="n">
        <v>46231</v>
      </c>
      <c r="C248" s="5" t="inlineStr">
        <is>
          <t>S01</t>
        </is>
      </c>
      <c r="D248" s="5" t="inlineStr">
        <is>
          <t>Mumbai</t>
        </is>
      </c>
      <c r="E248" s="5" t="inlineStr">
        <is>
          <t>P401</t>
        </is>
      </c>
      <c r="F248" s="5" t="inlineStr">
        <is>
          <t>Accessories</t>
        </is>
      </c>
      <c r="G248" s="5" t="n">
        <v>1</v>
      </c>
      <c r="H248" s="51" t="n">
        <v>1799</v>
      </c>
      <c r="I248" s="62" t="n">
        <v>0.05</v>
      </c>
      <c r="J248" s="5" t="inlineStr">
        <is>
          <t>Walk-in</t>
        </is>
      </c>
      <c r="K248" s="5" t="inlineStr">
        <is>
          <t>No</t>
        </is>
      </c>
      <c r="L248" s="51">
        <f>G248*H248*(1-I248)</f>
        <v/>
      </c>
      <c r="M248" s="51">
        <f>G248*INDEX(Lookups!$E$3:$E$12,MATCH(E248,Lookups!$A$3:$A$12,0))</f>
        <v/>
      </c>
      <c r="N248" s="51">
        <f>L248-M248</f>
        <v/>
      </c>
      <c r="O248" s="2" t="n"/>
      <c r="P248" s="2" t="n"/>
    </row>
    <row r="249">
      <c r="A249" s="5" t="inlineStr">
        <is>
          <t>ORD-0110</t>
        </is>
      </c>
      <c r="B249" s="50" t="n">
        <v>46231</v>
      </c>
      <c r="C249" s="5" t="inlineStr">
        <is>
          <t>S02</t>
        </is>
      </c>
      <c r="D249" s="5" t="inlineStr">
        <is>
          <t>Pune</t>
        </is>
      </c>
      <c r="E249" s="5" t="inlineStr">
        <is>
          <t>P401</t>
        </is>
      </c>
      <c r="F249" s="5" t="inlineStr">
        <is>
          <t>Accessories</t>
        </is>
      </c>
      <c r="G249" s="5" t="n">
        <v>1</v>
      </c>
      <c r="H249" s="51" t="n">
        <v>1799</v>
      </c>
      <c r="I249" s="62" t="n">
        <v>0.05</v>
      </c>
      <c r="J249" s="5" t="inlineStr">
        <is>
          <t>Corporate</t>
        </is>
      </c>
      <c r="K249" s="5" t="inlineStr">
        <is>
          <t>No</t>
        </is>
      </c>
      <c r="L249" s="51">
        <f>G249*H249*(1-I249)</f>
        <v/>
      </c>
      <c r="M249" s="51">
        <f>G249*INDEX(Lookups!$E$3:$E$12,MATCH(E249,Lookups!$A$3:$A$12,0))</f>
        <v/>
      </c>
      <c r="N249" s="51">
        <f>L249-M249</f>
        <v/>
      </c>
      <c r="O249" s="2" t="n"/>
      <c r="P249" s="2" t="n"/>
    </row>
    <row r="250">
      <c r="A250" s="5" t="inlineStr">
        <is>
          <t>ORD-0285</t>
        </is>
      </c>
      <c r="B250" s="50" t="n">
        <v>46231</v>
      </c>
      <c r="C250" s="5" t="inlineStr">
        <is>
          <t>S04</t>
        </is>
      </c>
      <c r="D250" s="5" t="inlineStr">
        <is>
          <t>Bengaluru</t>
        </is>
      </c>
      <c r="E250" s="5" t="inlineStr">
        <is>
          <t>P401</t>
        </is>
      </c>
      <c r="F250" s="5" t="inlineStr">
        <is>
          <t>Accessories</t>
        </is>
      </c>
      <c r="G250" s="5" t="n">
        <v>1</v>
      </c>
      <c r="H250" s="51" t="n">
        <v>1799</v>
      </c>
      <c r="I250" s="62" t="n">
        <v>0</v>
      </c>
      <c r="J250" s="5" t="inlineStr">
        <is>
          <t>Corporate</t>
        </is>
      </c>
      <c r="K250" s="5" t="inlineStr">
        <is>
          <t>No</t>
        </is>
      </c>
      <c r="L250" s="51">
        <f>G250*H250*(1-I250)</f>
        <v/>
      </c>
      <c r="M250" s="51">
        <f>G250*INDEX(Lookups!$E$3:$E$12,MATCH(E250,Lookups!$A$3:$A$12,0))</f>
        <v/>
      </c>
      <c r="N250" s="51">
        <f>L250-M250</f>
        <v/>
      </c>
      <c r="O250" s="2" t="n"/>
      <c r="P250" s="2" t="n"/>
    </row>
    <row r="251">
      <c r="A251" s="5" t="inlineStr">
        <is>
          <t>ORD-0339</t>
        </is>
      </c>
      <c r="B251" s="50" t="n">
        <v>46231</v>
      </c>
      <c r="C251" s="5" t="inlineStr">
        <is>
          <t>S03</t>
        </is>
      </c>
      <c r="D251" s="5" t="inlineStr">
        <is>
          <t>Delhi</t>
        </is>
      </c>
      <c r="E251" s="5" t="inlineStr">
        <is>
          <t>P501</t>
        </is>
      </c>
      <c r="F251" s="5" t="inlineStr">
        <is>
          <t>TV</t>
        </is>
      </c>
      <c r="G251" s="5" t="n">
        <v>1</v>
      </c>
      <c r="H251" s="51" t="n">
        <v>32999</v>
      </c>
      <c r="I251" s="62" t="n">
        <v>0</v>
      </c>
      <c r="J251" s="5" t="inlineStr">
        <is>
          <t>Corporate</t>
        </is>
      </c>
      <c r="K251" s="5" t="inlineStr">
        <is>
          <t>No</t>
        </is>
      </c>
      <c r="L251" s="51">
        <f>G251*H251*(1-I251)</f>
        <v/>
      </c>
      <c r="M251" s="51">
        <f>G251*INDEX(Lookups!$E$3:$E$12,MATCH(E251,Lookups!$A$3:$A$12,0))</f>
        <v/>
      </c>
      <c r="N251" s="51">
        <f>L251-M251</f>
        <v/>
      </c>
      <c r="O251" s="2" t="n"/>
      <c r="P251" s="2" t="n"/>
    </row>
    <row r="252">
      <c r="A252" s="5" t="inlineStr">
        <is>
          <t>ORD-0038</t>
        </is>
      </c>
      <c r="B252" s="50" t="n">
        <v>46232</v>
      </c>
      <c r="C252" s="5" t="inlineStr">
        <is>
          <t>S01</t>
        </is>
      </c>
      <c r="D252" s="5" t="inlineStr">
        <is>
          <t>Mumbai</t>
        </is>
      </c>
      <c r="E252" s="5" t="inlineStr">
        <is>
          <t>P301</t>
        </is>
      </c>
      <c r="F252" s="5" t="inlineStr">
        <is>
          <t>Audio</t>
        </is>
      </c>
      <c r="G252" s="5" t="n">
        <v>1</v>
      </c>
      <c r="H252" s="51" t="n">
        <v>2999</v>
      </c>
      <c r="I252" s="62" t="n">
        <v>0.05</v>
      </c>
      <c r="J252" s="5" t="inlineStr">
        <is>
          <t>Corporate</t>
        </is>
      </c>
      <c r="K252" s="5" t="inlineStr">
        <is>
          <t>No</t>
        </is>
      </c>
      <c r="L252" s="51">
        <f>G252*H252*(1-I252)</f>
        <v/>
      </c>
      <c r="M252" s="51">
        <f>G252*INDEX(Lookups!$E$3:$E$12,MATCH(E252,Lookups!$A$3:$A$12,0))</f>
        <v/>
      </c>
      <c r="N252" s="51">
        <f>L252-M252</f>
        <v/>
      </c>
      <c r="O252" s="2" t="n"/>
      <c r="P252" s="2" t="n"/>
    </row>
    <row r="253">
      <c r="A253" s="5" t="inlineStr">
        <is>
          <t>ORD-0158</t>
        </is>
      </c>
      <c r="B253" s="50" t="n">
        <v>46232</v>
      </c>
      <c r="C253" s="5" t="inlineStr">
        <is>
          <t>S02</t>
        </is>
      </c>
      <c r="D253" s="5" t="inlineStr">
        <is>
          <t>Pune</t>
        </is>
      </c>
      <c r="E253" s="5" t="inlineStr">
        <is>
          <t>P102</t>
        </is>
      </c>
      <c r="F253" s="5" t="inlineStr">
        <is>
          <t>Mobiles</t>
        </is>
      </c>
      <c r="G253" s="5" t="n">
        <v>1</v>
      </c>
      <c r="H253" s="51" t="n">
        <v>32999</v>
      </c>
      <c r="I253" s="62" t="n">
        <v>0</v>
      </c>
      <c r="J253" s="5" t="inlineStr">
        <is>
          <t>Online</t>
        </is>
      </c>
      <c r="K253" s="5" t="inlineStr">
        <is>
          <t>No</t>
        </is>
      </c>
      <c r="L253" s="51">
        <f>G253*H253*(1-I253)</f>
        <v/>
      </c>
      <c r="M253" s="51">
        <f>G253*INDEX(Lookups!$E$3:$E$12,MATCH(E253,Lookups!$A$3:$A$12,0))</f>
        <v/>
      </c>
      <c r="N253" s="51">
        <f>L253-M253</f>
        <v/>
      </c>
      <c r="O253" s="2" t="n"/>
      <c r="P253" s="2" t="n"/>
    </row>
    <row r="254">
      <c r="A254" s="5" t="inlineStr">
        <is>
          <t>ORD-0166</t>
        </is>
      </c>
      <c r="B254" s="50" t="n">
        <v>46232</v>
      </c>
      <c r="C254" s="5" t="inlineStr">
        <is>
          <t>S03</t>
        </is>
      </c>
      <c r="D254" s="5" t="inlineStr">
        <is>
          <t>Delhi</t>
        </is>
      </c>
      <c r="E254" s="5" t="inlineStr">
        <is>
          <t>P401</t>
        </is>
      </c>
      <c r="F254" s="5" t="inlineStr">
        <is>
          <t>Accessories</t>
        </is>
      </c>
      <c r="G254" s="5" t="n">
        <v>2</v>
      </c>
      <c r="H254" s="51" t="n">
        <v>1799</v>
      </c>
      <c r="I254" s="62" t="n">
        <v>0</v>
      </c>
      <c r="J254" s="5" t="inlineStr">
        <is>
          <t>Walk-in</t>
        </is>
      </c>
      <c r="K254" s="5" t="inlineStr">
        <is>
          <t>No</t>
        </is>
      </c>
      <c r="L254" s="51">
        <f>G254*H254*(1-I254)</f>
        <v/>
      </c>
      <c r="M254" s="51">
        <f>G254*INDEX(Lookups!$E$3:$E$12,MATCH(E254,Lookups!$A$3:$A$12,0))</f>
        <v/>
      </c>
      <c r="N254" s="51">
        <f>L254-M254</f>
        <v/>
      </c>
      <c r="O254" s="2" t="n"/>
      <c r="P254" s="2" t="n"/>
    </row>
    <row r="255">
      <c r="A255" s="5" t="inlineStr">
        <is>
          <t>ORD-0286</t>
        </is>
      </c>
      <c r="B255" s="50" t="n">
        <v>46232</v>
      </c>
      <c r="C255" s="5" t="inlineStr">
        <is>
          <t>S01</t>
        </is>
      </c>
      <c r="D255" s="5" t="inlineStr">
        <is>
          <t>Mumbai</t>
        </is>
      </c>
      <c r="E255" s="5" t="inlineStr">
        <is>
          <t>P102</t>
        </is>
      </c>
      <c r="F255" s="5" t="inlineStr">
        <is>
          <t>Mobiles</t>
        </is>
      </c>
      <c r="G255" s="5" t="n">
        <v>1</v>
      </c>
      <c r="H255" s="51" t="n">
        <v>32999</v>
      </c>
      <c r="I255" s="62" t="n">
        <v>0.05</v>
      </c>
      <c r="J255" s="5" t="inlineStr">
        <is>
          <t>Walk-in</t>
        </is>
      </c>
      <c r="K255" s="5" t="inlineStr">
        <is>
          <t>No</t>
        </is>
      </c>
      <c r="L255" s="51">
        <f>G255*H255*(1-I255)</f>
        <v/>
      </c>
      <c r="M255" s="51">
        <f>G255*INDEX(Lookups!$E$3:$E$12,MATCH(E255,Lookups!$A$3:$A$12,0))</f>
        <v/>
      </c>
      <c r="N255" s="51">
        <f>L255-M255</f>
        <v/>
      </c>
      <c r="O255" s="2" t="n"/>
      <c r="P255" s="2" t="n"/>
    </row>
    <row r="256">
      <c r="A256" s="5" t="inlineStr">
        <is>
          <t>ORD-0022</t>
        </is>
      </c>
      <c r="B256" s="50" t="n">
        <v>46233</v>
      </c>
      <c r="C256" s="5" t="inlineStr">
        <is>
          <t>S01</t>
        </is>
      </c>
      <c r="D256" s="5" t="inlineStr">
        <is>
          <t>Mumbai</t>
        </is>
      </c>
      <c r="E256" s="5" t="inlineStr">
        <is>
          <t>P301</t>
        </is>
      </c>
      <c r="F256" s="5" t="inlineStr">
        <is>
          <t>Audio</t>
        </is>
      </c>
      <c r="G256" s="5" t="n">
        <v>1</v>
      </c>
      <c r="H256" s="51" t="n">
        <v>2999</v>
      </c>
      <c r="I256" s="62" t="n">
        <v>0</v>
      </c>
      <c r="J256" s="5" t="inlineStr">
        <is>
          <t>Walk-in</t>
        </is>
      </c>
      <c r="K256" s="5" t="inlineStr">
        <is>
          <t>Yes</t>
        </is>
      </c>
      <c r="L256" s="51">
        <f>G256*H256*(1-I256)</f>
        <v/>
      </c>
      <c r="M256" s="51">
        <f>G256*INDEX(Lookups!$E$3:$E$12,MATCH(E256,Lookups!$A$3:$A$12,0))</f>
        <v/>
      </c>
      <c r="N256" s="51">
        <f>L256-M256</f>
        <v/>
      </c>
      <c r="O256" s="2" t="n"/>
      <c r="P256" s="2" t="n"/>
    </row>
    <row r="257">
      <c r="A257" s="5" t="inlineStr">
        <is>
          <t>ORD-0078</t>
        </is>
      </c>
      <c r="B257" s="50" t="n">
        <v>46233</v>
      </c>
      <c r="C257" s="5" t="inlineStr">
        <is>
          <t>S03</t>
        </is>
      </c>
      <c r="D257" s="5" t="inlineStr">
        <is>
          <t>Delhi</t>
        </is>
      </c>
      <c r="E257" s="5" t="inlineStr">
        <is>
          <t>P201</t>
        </is>
      </c>
      <c r="F257" s="5" t="inlineStr">
        <is>
          <t>Laptops</t>
        </is>
      </c>
      <c r="G257" s="5" t="n">
        <v>1</v>
      </c>
      <c r="H257" s="51" t="n">
        <v>54999</v>
      </c>
      <c r="I257" s="62" t="n">
        <v>0</v>
      </c>
      <c r="J257" s="5" t="inlineStr">
        <is>
          <t>Corporate</t>
        </is>
      </c>
      <c r="K257" s="5" t="inlineStr">
        <is>
          <t>No</t>
        </is>
      </c>
      <c r="L257" s="51">
        <f>G257*H257*(1-I257)</f>
        <v/>
      </c>
      <c r="M257" s="51">
        <f>G257*INDEX(Lookups!$E$3:$E$12,MATCH(E257,Lookups!$A$3:$A$12,0))</f>
        <v/>
      </c>
      <c r="N257" s="51">
        <f>L257-M257</f>
        <v/>
      </c>
      <c r="O257" s="2" t="n"/>
      <c r="P257" s="2" t="n"/>
    </row>
    <row r="258">
      <c r="A258" s="5" t="inlineStr">
        <is>
          <t>ORD-0207</t>
        </is>
      </c>
      <c r="B258" s="50" t="n">
        <v>46233</v>
      </c>
      <c r="C258" s="5" t="inlineStr">
        <is>
          <t>S02</t>
        </is>
      </c>
      <c r="D258" s="5" t="inlineStr">
        <is>
          <t>Pune</t>
        </is>
      </c>
      <c r="E258" s="5" t="inlineStr">
        <is>
          <t>P301</t>
        </is>
      </c>
      <c r="F258" s="5" t="inlineStr">
        <is>
          <t>Audio</t>
        </is>
      </c>
      <c r="G258" s="5" t="n">
        <v>1</v>
      </c>
      <c r="H258" s="51" t="n">
        <v>2999</v>
      </c>
      <c r="I258" s="62" t="n">
        <v>0.1</v>
      </c>
      <c r="J258" s="5" t="inlineStr">
        <is>
          <t>Corporate</t>
        </is>
      </c>
      <c r="K258" s="5" t="inlineStr">
        <is>
          <t>No</t>
        </is>
      </c>
      <c r="L258" s="51">
        <f>G258*H258*(1-I258)</f>
        <v/>
      </c>
      <c r="M258" s="51">
        <f>G258*INDEX(Lookups!$E$3:$E$12,MATCH(E258,Lookups!$A$3:$A$12,0))</f>
        <v/>
      </c>
      <c r="N258" s="51">
        <f>L258-M258</f>
        <v/>
      </c>
      <c r="O258" s="2" t="n"/>
      <c r="P258" s="2" t="n"/>
    </row>
    <row r="259">
      <c r="A259" s="5" t="inlineStr">
        <is>
          <t>ORD-0059</t>
        </is>
      </c>
      <c r="B259" s="50" t="n">
        <v>46235</v>
      </c>
      <c r="C259" s="5" t="inlineStr">
        <is>
          <t>S04</t>
        </is>
      </c>
      <c r="D259" s="5" t="inlineStr">
        <is>
          <t>Bengaluru</t>
        </is>
      </c>
      <c r="E259" s="5" t="inlineStr">
        <is>
          <t>P101</t>
        </is>
      </c>
      <c r="F259" s="5" t="inlineStr">
        <is>
          <t>Mobiles</t>
        </is>
      </c>
      <c r="G259" s="5" t="n">
        <v>1</v>
      </c>
      <c r="H259" s="51" t="n">
        <v>18999</v>
      </c>
      <c r="I259" s="62" t="n">
        <v>0</v>
      </c>
      <c r="J259" s="5" t="inlineStr">
        <is>
          <t>Walk-in</t>
        </is>
      </c>
      <c r="K259" s="5" t="inlineStr">
        <is>
          <t>No</t>
        </is>
      </c>
      <c r="L259" s="51">
        <f>G259*H259*(1-I259)</f>
        <v/>
      </c>
      <c r="M259" s="51">
        <f>G259*INDEX(Lookups!$E$3:$E$12,MATCH(E259,Lookups!$A$3:$A$12,0))</f>
        <v/>
      </c>
      <c r="N259" s="51">
        <f>L259-M259</f>
        <v/>
      </c>
      <c r="O259" s="2" t="n"/>
      <c r="P259" s="2" t="n"/>
    </row>
    <row r="260">
      <c r="A260" s="5" t="inlineStr">
        <is>
          <t>ORD-0079</t>
        </is>
      </c>
      <c r="B260" s="50" t="n">
        <v>46235</v>
      </c>
      <c r="C260" s="5" t="inlineStr">
        <is>
          <t>S04</t>
        </is>
      </c>
      <c r="D260" s="5" t="inlineStr">
        <is>
          <t>Bengaluru</t>
        </is>
      </c>
      <c r="E260" s="5" t="inlineStr">
        <is>
          <t>P301</t>
        </is>
      </c>
      <c r="F260" s="5" t="inlineStr">
        <is>
          <t>Audio</t>
        </is>
      </c>
      <c r="G260" s="5" t="n">
        <v>1</v>
      </c>
      <c r="H260" s="51" t="n">
        <v>2999</v>
      </c>
      <c r="I260" s="62" t="n">
        <v>0</v>
      </c>
      <c r="J260" s="5" t="inlineStr">
        <is>
          <t>Walk-in</t>
        </is>
      </c>
      <c r="K260" s="5" t="inlineStr">
        <is>
          <t>Yes</t>
        </is>
      </c>
      <c r="L260" s="51">
        <f>G260*H260*(1-I260)</f>
        <v/>
      </c>
      <c r="M260" s="51">
        <f>G260*INDEX(Lookups!$E$3:$E$12,MATCH(E260,Lookups!$A$3:$A$12,0))</f>
        <v/>
      </c>
      <c r="N260" s="51">
        <f>L260-M260</f>
        <v/>
      </c>
      <c r="O260" s="2" t="n"/>
      <c r="P260" s="2" t="n"/>
    </row>
    <row r="261">
      <c r="A261" s="5" t="inlineStr">
        <is>
          <t>ORD-0208</t>
        </is>
      </c>
      <c r="B261" s="50" t="n">
        <v>46235</v>
      </c>
      <c r="C261" s="5" t="inlineStr">
        <is>
          <t>S03</t>
        </is>
      </c>
      <c r="D261" s="5" t="inlineStr">
        <is>
          <t>Delhi</t>
        </is>
      </c>
      <c r="E261" s="5" t="inlineStr">
        <is>
          <t>P402</t>
        </is>
      </c>
      <c r="F261" s="5" t="inlineStr">
        <is>
          <t>Accessories</t>
        </is>
      </c>
      <c r="G261" s="5" t="n">
        <v>1</v>
      </c>
      <c r="H261" s="51" t="n">
        <v>1499</v>
      </c>
      <c r="I261" s="62" t="n">
        <v>0.1</v>
      </c>
      <c r="J261" s="5" t="inlineStr">
        <is>
          <t>Walk-in</t>
        </is>
      </c>
      <c r="K261" s="5" t="inlineStr">
        <is>
          <t>Yes</t>
        </is>
      </c>
      <c r="L261" s="51">
        <f>G261*H261*(1-I261)</f>
        <v/>
      </c>
      <c r="M261" s="51">
        <f>G261*INDEX(Lookups!$E$3:$E$12,MATCH(E261,Lookups!$A$3:$A$12,0))</f>
        <v/>
      </c>
      <c r="N261" s="51">
        <f>L261-M261</f>
        <v/>
      </c>
      <c r="O261" s="2" t="n"/>
      <c r="P261" s="2" t="n"/>
    </row>
    <row r="262">
      <c r="A262" s="5" t="inlineStr">
        <is>
          <t>ORD-0323</t>
        </is>
      </c>
      <c r="B262" s="50" t="n">
        <v>46235</v>
      </c>
      <c r="C262" s="5" t="inlineStr">
        <is>
          <t>S04</t>
        </is>
      </c>
      <c r="D262" s="5" t="inlineStr">
        <is>
          <t>Bengaluru</t>
        </is>
      </c>
      <c r="E262" s="5" t="inlineStr">
        <is>
          <t>P102</t>
        </is>
      </c>
      <c r="F262" s="5" t="inlineStr">
        <is>
          <t>Mobiles</t>
        </is>
      </c>
      <c r="G262" s="5" t="n">
        <v>1</v>
      </c>
      <c r="H262" s="51" t="n">
        <v>32999</v>
      </c>
      <c r="I262" s="62" t="n">
        <v>0.1</v>
      </c>
      <c r="J262" s="5" t="inlineStr">
        <is>
          <t>Online</t>
        </is>
      </c>
      <c r="K262" s="5" t="inlineStr">
        <is>
          <t>No</t>
        </is>
      </c>
      <c r="L262" s="51">
        <f>G262*H262*(1-I262)</f>
        <v/>
      </c>
      <c r="M262" s="51">
        <f>G262*INDEX(Lookups!$E$3:$E$12,MATCH(E262,Lookups!$A$3:$A$12,0))</f>
        <v/>
      </c>
      <c r="N262" s="51">
        <f>L262-M262</f>
        <v/>
      </c>
      <c r="O262" s="2" t="n"/>
      <c r="P262" s="2" t="n"/>
    </row>
    <row r="263">
      <c r="A263" s="5" t="inlineStr">
        <is>
          <t>ORD-0039</t>
        </is>
      </c>
      <c r="B263" s="50" t="n">
        <v>46236</v>
      </c>
      <c r="C263" s="5" t="inlineStr">
        <is>
          <t>S01</t>
        </is>
      </c>
      <c r="D263" s="5" t="inlineStr">
        <is>
          <t>Mumbai</t>
        </is>
      </c>
      <c r="E263" s="5" t="inlineStr">
        <is>
          <t>P101</t>
        </is>
      </c>
      <c r="F263" s="5" t="inlineStr">
        <is>
          <t>Mobiles</t>
        </is>
      </c>
      <c r="G263" s="5" t="n">
        <v>1</v>
      </c>
      <c r="H263" s="51" t="n">
        <v>18999</v>
      </c>
      <c r="I263" s="62" t="n">
        <v>0</v>
      </c>
      <c r="J263" s="5" t="inlineStr">
        <is>
          <t>Corporate</t>
        </is>
      </c>
      <c r="K263" s="5" t="inlineStr">
        <is>
          <t>No</t>
        </is>
      </c>
      <c r="L263" s="51">
        <f>G263*H263*(1-I263)</f>
        <v/>
      </c>
      <c r="M263" s="51">
        <f>G263*INDEX(Lookups!$E$3:$E$12,MATCH(E263,Lookups!$A$3:$A$12,0))</f>
        <v/>
      </c>
      <c r="N263" s="51">
        <f>L263-M263</f>
        <v/>
      </c>
      <c r="O263" s="2" t="n"/>
      <c r="P263" s="2" t="n"/>
    </row>
    <row r="264">
      <c r="A264" s="5" t="inlineStr">
        <is>
          <t>ORD-0175</t>
        </is>
      </c>
      <c r="B264" s="50" t="n">
        <v>46236</v>
      </c>
      <c r="C264" s="5" t="inlineStr">
        <is>
          <t>S02</t>
        </is>
      </c>
      <c r="D264" s="5" t="inlineStr">
        <is>
          <t>Pune</t>
        </is>
      </c>
      <c r="E264" s="5" t="inlineStr">
        <is>
          <t>P501</t>
        </is>
      </c>
      <c r="F264" s="5" t="inlineStr">
        <is>
          <t>TV</t>
        </is>
      </c>
      <c r="G264" s="5" t="n">
        <v>1</v>
      </c>
      <c r="H264" s="51" t="n">
        <v>32999</v>
      </c>
      <c r="I264" s="62" t="n">
        <v>0</v>
      </c>
      <c r="J264" s="5" t="inlineStr">
        <is>
          <t>Online</t>
        </is>
      </c>
      <c r="K264" s="5" t="inlineStr">
        <is>
          <t>No</t>
        </is>
      </c>
      <c r="L264" s="51">
        <f>G264*H264*(1-I264)</f>
        <v/>
      </c>
      <c r="M264" s="51">
        <f>G264*INDEX(Lookups!$E$3:$E$12,MATCH(E264,Lookups!$A$3:$A$12,0))</f>
        <v/>
      </c>
      <c r="N264" s="51">
        <f>L264-M264</f>
        <v/>
      </c>
      <c r="O264" s="2" t="n"/>
      <c r="P264" s="2" t="n"/>
    </row>
    <row r="265">
      <c r="A265" s="5" t="inlineStr">
        <is>
          <t>ORD-0055</t>
        </is>
      </c>
      <c r="B265" s="50" t="n">
        <v>46237</v>
      </c>
      <c r="C265" s="5" t="inlineStr">
        <is>
          <t>S02</t>
        </is>
      </c>
      <c r="D265" s="5" t="inlineStr">
        <is>
          <t>Pune</t>
        </is>
      </c>
      <c r="E265" s="5" t="inlineStr">
        <is>
          <t>P402</t>
        </is>
      </c>
      <c r="F265" s="5" t="inlineStr">
        <is>
          <t>Accessories</t>
        </is>
      </c>
      <c r="G265" s="5" t="n">
        <v>1</v>
      </c>
      <c r="H265" s="51" t="n">
        <v>1499</v>
      </c>
      <c r="I265" s="62" t="n">
        <v>0.05</v>
      </c>
      <c r="J265" s="5" t="inlineStr">
        <is>
          <t>Online</t>
        </is>
      </c>
      <c r="K265" s="5" t="inlineStr">
        <is>
          <t>No</t>
        </is>
      </c>
      <c r="L265" s="51">
        <f>G265*H265*(1-I265)</f>
        <v/>
      </c>
      <c r="M265" s="51">
        <f>G265*INDEX(Lookups!$E$3:$E$12,MATCH(E265,Lookups!$A$3:$A$12,0))</f>
        <v/>
      </c>
      <c r="N265" s="51">
        <f>L265-M265</f>
        <v/>
      </c>
      <c r="O265" s="2" t="n"/>
      <c r="P265" s="2" t="n"/>
    </row>
    <row r="266">
      <c r="A266" s="5" t="inlineStr">
        <is>
          <t>ORD-0057</t>
        </is>
      </c>
      <c r="B266" s="50" t="n">
        <v>46237</v>
      </c>
      <c r="C266" s="5" t="inlineStr">
        <is>
          <t>S02</t>
        </is>
      </c>
      <c r="D266" s="5" t="inlineStr">
        <is>
          <t>Pune</t>
        </is>
      </c>
      <c r="E266" s="5" t="inlineStr">
        <is>
          <t>P201</t>
        </is>
      </c>
      <c r="F266" s="5" t="inlineStr">
        <is>
          <t>Laptops</t>
        </is>
      </c>
      <c r="G266" s="5" t="n">
        <v>3</v>
      </c>
      <c r="H266" s="51" t="n">
        <v>54999</v>
      </c>
      <c r="I266" s="62" t="n">
        <v>0</v>
      </c>
      <c r="J266" s="5" t="inlineStr">
        <is>
          <t>Online</t>
        </is>
      </c>
      <c r="K266" s="5" t="inlineStr">
        <is>
          <t>No</t>
        </is>
      </c>
      <c r="L266" s="51">
        <f>G266*H266*(1-I266)</f>
        <v/>
      </c>
      <c r="M266" s="51">
        <f>G266*INDEX(Lookups!$E$3:$E$12,MATCH(E266,Lookups!$A$3:$A$12,0))</f>
        <v/>
      </c>
      <c r="N266" s="51">
        <f>L266-M266</f>
        <v/>
      </c>
      <c r="O266" s="2" t="n"/>
      <c r="P266" s="2" t="n"/>
    </row>
    <row r="267">
      <c r="A267" s="5" t="inlineStr">
        <is>
          <t>ORD-0206</t>
        </is>
      </c>
      <c r="B267" s="50" t="n">
        <v>46237</v>
      </c>
      <c r="C267" s="5" t="inlineStr">
        <is>
          <t>S02</t>
        </is>
      </c>
      <c r="D267" s="5" t="inlineStr">
        <is>
          <t>Pune</t>
        </is>
      </c>
      <c r="E267" s="5" t="inlineStr">
        <is>
          <t>P301</t>
        </is>
      </c>
      <c r="F267" s="5" t="inlineStr">
        <is>
          <t>Audio</t>
        </is>
      </c>
      <c r="G267" s="5" t="n">
        <v>1</v>
      </c>
      <c r="H267" s="51" t="n">
        <v>2999</v>
      </c>
      <c r="I267" s="62" t="n">
        <v>0.1</v>
      </c>
      <c r="J267" s="5" t="inlineStr">
        <is>
          <t>Corporate</t>
        </is>
      </c>
      <c r="K267" s="5" t="inlineStr">
        <is>
          <t>No</t>
        </is>
      </c>
      <c r="L267" s="51">
        <f>G267*H267*(1-I267)</f>
        <v/>
      </c>
      <c r="M267" s="51">
        <f>G267*INDEX(Lookups!$E$3:$E$12,MATCH(E267,Lookups!$A$3:$A$12,0))</f>
        <v/>
      </c>
      <c r="N267" s="51">
        <f>L267-M267</f>
        <v/>
      </c>
      <c r="O267" s="2" t="n"/>
      <c r="P267" s="2" t="n"/>
    </row>
    <row r="268">
      <c r="A268" s="5" t="inlineStr">
        <is>
          <t>ORD-0317</t>
        </is>
      </c>
      <c r="B268" s="50" t="n">
        <v>46237</v>
      </c>
      <c r="C268" s="5" t="inlineStr">
        <is>
          <t>S04</t>
        </is>
      </c>
      <c r="D268" s="5" t="inlineStr">
        <is>
          <t>Bengaluru</t>
        </is>
      </c>
      <c r="E268" s="5" t="inlineStr">
        <is>
          <t>P202</t>
        </is>
      </c>
      <c r="F268" s="5" t="inlineStr">
        <is>
          <t>Laptops</t>
        </is>
      </c>
      <c r="G268" s="5" t="n">
        <v>4</v>
      </c>
      <c r="H268" s="51" t="n">
        <v>94999</v>
      </c>
      <c r="I268" s="62" t="n">
        <v>0</v>
      </c>
      <c r="J268" s="5" t="inlineStr">
        <is>
          <t>Walk-in</t>
        </is>
      </c>
      <c r="K268" s="5" t="inlineStr">
        <is>
          <t>Yes</t>
        </is>
      </c>
      <c r="L268" s="51">
        <f>G268*H268*(1-I268)</f>
        <v/>
      </c>
      <c r="M268" s="51">
        <f>G268*INDEX(Lookups!$E$3:$E$12,MATCH(E268,Lookups!$A$3:$A$12,0))</f>
        <v/>
      </c>
      <c r="N268" s="51">
        <f>L268-M268</f>
        <v/>
      </c>
      <c r="O268" s="2" t="n"/>
      <c r="P268" s="2" t="n"/>
    </row>
    <row r="269">
      <c r="A269" s="5" t="inlineStr">
        <is>
          <t>ORD-0284</t>
        </is>
      </c>
      <c r="B269" s="50" t="n">
        <v>46238</v>
      </c>
      <c r="C269" s="5" t="inlineStr">
        <is>
          <t>S05</t>
        </is>
      </c>
      <c r="D269" s="5" t="inlineStr">
        <is>
          <t>Chennai</t>
        </is>
      </c>
      <c r="E269" s="5" t="inlineStr">
        <is>
          <t>P202</t>
        </is>
      </c>
      <c r="F269" s="5" t="inlineStr">
        <is>
          <t>Laptops</t>
        </is>
      </c>
      <c r="G269" s="5" t="n">
        <v>1</v>
      </c>
      <c r="H269" s="51" t="n">
        <v>94999</v>
      </c>
      <c r="I269" s="62" t="n">
        <v>0</v>
      </c>
      <c r="J269" s="5" t="inlineStr">
        <is>
          <t>Walk-in</t>
        </is>
      </c>
      <c r="K269" s="5" t="inlineStr">
        <is>
          <t>No</t>
        </is>
      </c>
      <c r="L269" s="51">
        <f>G269*H269*(1-I269)</f>
        <v/>
      </c>
      <c r="M269" s="51">
        <f>G269*INDEX(Lookups!$E$3:$E$12,MATCH(E269,Lookups!$A$3:$A$12,0))</f>
        <v/>
      </c>
      <c r="N269" s="51">
        <f>L269-M269</f>
        <v/>
      </c>
      <c r="O269" s="2" t="n"/>
      <c r="P269" s="2" t="n"/>
    </row>
    <row r="270">
      <c r="A270" s="5" t="inlineStr">
        <is>
          <t>ORD-0391</t>
        </is>
      </c>
      <c r="B270" s="50" t="n">
        <v>46238</v>
      </c>
      <c r="C270" s="5" t="inlineStr">
        <is>
          <t>S02</t>
        </is>
      </c>
      <c r="D270" s="5" t="inlineStr">
        <is>
          <t>Pune</t>
        </is>
      </c>
      <c r="E270" s="5" t="inlineStr">
        <is>
          <t>P301</t>
        </is>
      </c>
      <c r="F270" s="5" t="inlineStr">
        <is>
          <t>Audio</t>
        </is>
      </c>
      <c r="G270" s="5" t="n">
        <v>3</v>
      </c>
      <c r="H270" s="51" t="n">
        <v>2999</v>
      </c>
      <c r="I270" s="62" t="n">
        <v>0.05</v>
      </c>
      <c r="J270" s="5" t="inlineStr">
        <is>
          <t>Walk-in</t>
        </is>
      </c>
      <c r="K270" s="5" t="inlineStr">
        <is>
          <t>No</t>
        </is>
      </c>
      <c r="L270" s="51">
        <f>G270*H270*(1-I270)</f>
        <v/>
      </c>
      <c r="M270" s="51">
        <f>G270*INDEX(Lookups!$E$3:$E$12,MATCH(E270,Lookups!$A$3:$A$12,0))</f>
        <v/>
      </c>
      <c r="N270" s="51">
        <f>L270-M270</f>
        <v/>
      </c>
      <c r="O270" s="2" t="n"/>
      <c r="P270" s="2" t="n"/>
    </row>
    <row r="271">
      <c r="A271" s="5" t="inlineStr">
        <is>
          <t>ORD-0230</t>
        </is>
      </c>
      <c r="B271" s="50" t="n">
        <v>46239</v>
      </c>
      <c r="C271" s="5" t="inlineStr">
        <is>
          <t>S03</t>
        </is>
      </c>
      <c r="D271" s="5" t="inlineStr">
        <is>
          <t>Delhi</t>
        </is>
      </c>
      <c r="E271" s="5" t="inlineStr">
        <is>
          <t>P102</t>
        </is>
      </c>
      <c r="F271" s="5" t="inlineStr">
        <is>
          <t>Mobiles</t>
        </is>
      </c>
      <c r="G271" s="5" t="n">
        <v>1</v>
      </c>
      <c r="H271" s="51" t="n">
        <v>32999</v>
      </c>
      <c r="I271" s="62" t="n">
        <v>0.05</v>
      </c>
      <c r="J271" s="5" t="inlineStr">
        <is>
          <t>Corporate</t>
        </is>
      </c>
      <c r="K271" s="5" t="inlineStr">
        <is>
          <t>No</t>
        </is>
      </c>
      <c r="L271" s="51">
        <f>G271*H271*(1-I271)</f>
        <v/>
      </c>
      <c r="M271" s="51">
        <f>G271*INDEX(Lookups!$E$3:$E$12,MATCH(E271,Lookups!$A$3:$A$12,0))</f>
        <v/>
      </c>
      <c r="N271" s="51">
        <f>L271-M271</f>
        <v/>
      </c>
      <c r="O271" s="2" t="n"/>
      <c r="P271" s="2" t="n"/>
    </row>
    <row r="272">
      <c r="A272" s="5" t="inlineStr">
        <is>
          <t>ORD-0161</t>
        </is>
      </c>
      <c r="B272" s="50" t="n">
        <v>46240</v>
      </c>
      <c r="C272" s="5" t="inlineStr">
        <is>
          <t>S02</t>
        </is>
      </c>
      <c r="D272" s="5" t="inlineStr">
        <is>
          <t>Pune</t>
        </is>
      </c>
      <c r="E272" s="5" t="inlineStr">
        <is>
          <t>P102</t>
        </is>
      </c>
      <c r="F272" s="5" t="inlineStr">
        <is>
          <t>Mobiles</t>
        </is>
      </c>
      <c r="G272" s="5" t="n">
        <v>3</v>
      </c>
      <c r="H272" s="51" t="n">
        <v>32999</v>
      </c>
      <c r="I272" s="62" t="n">
        <v>0.05</v>
      </c>
      <c r="J272" s="5" t="inlineStr">
        <is>
          <t>Online</t>
        </is>
      </c>
      <c r="K272" s="5" t="inlineStr">
        <is>
          <t>No</t>
        </is>
      </c>
      <c r="L272" s="51">
        <f>G272*H272*(1-I272)</f>
        <v/>
      </c>
      <c r="M272" s="51">
        <f>G272*INDEX(Lookups!$E$3:$E$12,MATCH(E272,Lookups!$A$3:$A$12,0))</f>
        <v/>
      </c>
      <c r="N272" s="51">
        <f>L272-M272</f>
        <v/>
      </c>
      <c r="O272" s="2" t="n"/>
      <c r="P272" s="2" t="n"/>
    </row>
    <row r="273">
      <c r="A273" s="5" t="inlineStr">
        <is>
          <t>ORD-0350</t>
        </is>
      </c>
      <c r="B273" s="50" t="n">
        <v>46240</v>
      </c>
      <c r="C273" s="5" t="inlineStr">
        <is>
          <t>S03</t>
        </is>
      </c>
      <c r="D273" s="5" t="inlineStr">
        <is>
          <t>Delhi</t>
        </is>
      </c>
      <c r="E273" s="5" t="inlineStr">
        <is>
          <t>P202</t>
        </is>
      </c>
      <c r="F273" s="5" t="inlineStr">
        <is>
          <t>Laptops</t>
        </is>
      </c>
      <c r="G273" s="5" t="n">
        <v>1</v>
      </c>
      <c r="H273" s="51" t="n">
        <v>94999</v>
      </c>
      <c r="I273" s="62" t="n">
        <v>0</v>
      </c>
      <c r="J273" s="5" t="inlineStr">
        <is>
          <t>Walk-in</t>
        </is>
      </c>
      <c r="K273" s="5" t="inlineStr">
        <is>
          <t>No</t>
        </is>
      </c>
      <c r="L273" s="51">
        <f>G273*H273*(1-I273)</f>
        <v/>
      </c>
      <c r="M273" s="51">
        <f>G273*INDEX(Lookups!$E$3:$E$12,MATCH(E273,Lookups!$A$3:$A$12,0))</f>
        <v/>
      </c>
      <c r="N273" s="51">
        <f>L273-M273</f>
        <v/>
      </c>
      <c r="O273" s="2" t="n"/>
      <c r="P273" s="2" t="n"/>
    </row>
    <row r="274">
      <c r="A274" s="5" t="inlineStr">
        <is>
          <t>ORD-0104</t>
        </is>
      </c>
      <c r="B274" s="50" t="n">
        <v>46241</v>
      </c>
      <c r="C274" s="5" t="inlineStr">
        <is>
          <t>S02</t>
        </is>
      </c>
      <c r="D274" s="5" t="inlineStr">
        <is>
          <t>Pune</t>
        </is>
      </c>
      <c r="E274" s="5" t="inlineStr">
        <is>
          <t>P302</t>
        </is>
      </c>
      <c r="F274" s="5" t="inlineStr">
        <is>
          <t>Audio</t>
        </is>
      </c>
      <c r="G274" s="5" t="n">
        <v>4</v>
      </c>
      <c r="H274" s="51" t="n">
        <v>4499</v>
      </c>
      <c r="I274" s="62" t="n">
        <v>0.05</v>
      </c>
      <c r="J274" s="5" t="inlineStr">
        <is>
          <t>Online</t>
        </is>
      </c>
      <c r="K274" s="5" t="inlineStr">
        <is>
          <t>No</t>
        </is>
      </c>
      <c r="L274" s="51">
        <f>G274*H274*(1-I274)</f>
        <v/>
      </c>
      <c r="M274" s="51">
        <f>G274*INDEX(Lookups!$E$3:$E$12,MATCH(E274,Lookups!$A$3:$A$12,0))</f>
        <v/>
      </c>
      <c r="N274" s="51">
        <f>L274-M274</f>
        <v/>
      </c>
      <c r="O274" s="2" t="n"/>
      <c r="P274" s="2" t="n"/>
    </row>
    <row r="275">
      <c r="A275" s="5" t="inlineStr">
        <is>
          <t>ORD-0143</t>
        </is>
      </c>
      <c r="B275" s="50" t="n">
        <v>46241</v>
      </c>
      <c r="C275" s="5" t="inlineStr">
        <is>
          <t>S03</t>
        </is>
      </c>
      <c r="D275" s="5" t="inlineStr">
        <is>
          <t>Delhi</t>
        </is>
      </c>
      <c r="E275" s="5" t="inlineStr">
        <is>
          <t>P401</t>
        </is>
      </c>
      <c r="F275" s="5" t="inlineStr">
        <is>
          <t>Accessories</t>
        </is>
      </c>
      <c r="G275" s="5" t="n">
        <v>1</v>
      </c>
      <c r="H275" s="51" t="n">
        <v>1799</v>
      </c>
      <c r="I275" s="62" t="n">
        <v>0.05</v>
      </c>
      <c r="J275" s="5" t="inlineStr">
        <is>
          <t>Corporate</t>
        </is>
      </c>
      <c r="K275" s="5" t="inlineStr">
        <is>
          <t>No</t>
        </is>
      </c>
      <c r="L275" s="51">
        <f>G275*H275*(1-I275)</f>
        <v/>
      </c>
      <c r="M275" s="51">
        <f>G275*INDEX(Lookups!$E$3:$E$12,MATCH(E275,Lookups!$A$3:$A$12,0))</f>
        <v/>
      </c>
      <c r="N275" s="51">
        <f>L275-M275</f>
        <v/>
      </c>
      <c r="O275" s="2" t="n"/>
      <c r="P275" s="2" t="n"/>
    </row>
    <row r="276">
      <c r="A276" s="5" t="inlineStr">
        <is>
          <t>ORD-0187</t>
        </is>
      </c>
      <c r="B276" s="50" t="n">
        <v>46242</v>
      </c>
      <c r="C276" s="5" t="inlineStr">
        <is>
          <t>S03</t>
        </is>
      </c>
      <c r="D276" s="5" t="inlineStr">
        <is>
          <t>Delhi</t>
        </is>
      </c>
      <c r="E276" s="5" t="inlineStr">
        <is>
          <t>P301</t>
        </is>
      </c>
      <c r="F276" s="5" t="inlineStr">
        <is>
          <t>Audio</t>
        </is>
      </c>
      <c r="G276" s="5" t="n">
        <v>1</v>
      </c>
      <c r="H276" s="51" t="n">
        <v>2999</v>
      </c>
      <c r="I276" s="62" t="n">
        <v>0.05</v>
      </c>
      <c r="J276" s="5" t="inlineStr">
        <is>
          <t>Walk-in</t>
        </is>
      </c>
      <c r="K276" s="5" t="inlineStr">
        <is>
          <t>No</t>
        </is>
      </c>
      <c r="L276" s="51">
        <f>G276*H276*(1-I276)</f>
        <v/>
      </c>
      <c r="M276" s="51">
        <f>G276*INDEX(Lookups!$E$3:$E$12,MATCH(E276,Lookups!$A$3:$A$12,0))</f>
        <v/>
      </c>
      <c r="N276" s="51">
        <f>L276-M276</f>
        <v/>
      </c>
      <c r="O276" s="2" t="n"/>
      <c r="P276" s="2" t="n"/>
    </row>
    <row r="277">
      <c r="A277" s="5" t="inlineStr">
        <is>
          <t>ORD-0218</t>
        </is>
      </c>
      <c r="B277" s="50" t="n">
        <v>46242</v>
      </c>
      <c r="C277" s="5" t="inlineStr">
        <is>
          <t>S03</t>
        </is>
      </c>
      <c r="D277" s="5" t="inlineStr">
        <is>
          <t>Delhi</t>
        </is>
      </c>
      <c r="E277" s="5" t="inlineStr">
        <is>
          <t>P401</t>
        </is>
      </c>
      <c r="F277" s="5" t="inlineStr">
        <is>
          <t>Accessories</t>
        </is>
      </c>
      <c r="G277" s="5" t="n">
        <v>2</v>
      </c>
      <c r="H277" s="51" t="n">
        <v>1799</v>
      </c>
      <c r="I277" s="62" t="n">
        <v>0</v>
      </c>
      <c r="J277" s="5" t="inlineStr">
        <is>
          <t>Walk-in</t>
        </is>
      </c>
      <c r="K277" s="5" t="inlineStr">
        <is>
          <t>No</t>
        </is>
      </c>
      <c r="L277" s="51">
        <f>G277*H277*(1-I277)</f>
        <v/>
      </c>
      <c r="M277" s="51">
        <f>G277*INDEX(Lookups!$E$3:$E$12,MATCH(E277,Lookups!$A$3:$A$12,0))</f>
        <v/>
      </c>
      <c r="N277" s="51">
        <f>L277-M277</f>
        <v/>
      </c>
      <c r="O277" s="2" t="n"/>
      <c r="P277" s="2" t="n"/>
    </row>
    <row r="278">
      <c r="A278" s="5" t="inlineStr">
        <is>
          <t>ORD-0278</t>
        </is>
      </c>
      <c r="B278" s="50" t="n">
        <v>46242</v>
      </c>
      <c r="C278" s="5" t="inlineStr">
        <is>
          <t>S01</t>
        </is>
      </c>
      <c r="D278" s="5" t="inlineStr">
        <is>
          <t>Mumbai</t>
        </is>
      </c>
      <c r="E278" s="5" t="inlineStr">
        <is>
          <t>P401</t>
        </is>
      </c>
      <c r="F278" s="5" t="inlineStr">
        <is>
          <t>Accessories</t>
        </is>
      </c>
      <c r="G278" s="5" t="n">
        <v>1</v>
      </c>
      <c r="H278" s="51" t="n">
        <v>1799</v>
      </c>
      <c r="I278" s="62" t="n">
        <v>0</v>
      </c>
      <c r="J278" s="5" t="inlineStr">
        <is>
          <t>Walk-in</t>
        </is>
      </c>
      <c r="K278" s="5" t="inlineStr">
        <is>
          <t>No</t>
        </is>
      </c>
      <c r="L278" s="51">
        <f>G278*H278*(1-I278)</f>
        <v/>
      </c>
      <c r="M278" s="51">
        <f>G278*INDEX(Lookups!$E$3:$E$12,MATCH(E278,Lookups!$A$3:$A$12,0))</f>
        <v/>
      </c>
      <c r="N278" s="51">
        <f>L278-M278</f>
        <v/>
      </c>
      <c r="O278" s="2" t="n"/>
      <c r="P278" s="2" t="n"/>
    </row>
    <row r="279">
      <c r="A279" s="5" t="inlineStr">
        <is>
          <t>ORD-0045</t>
        </is>
      </c>
      <c r="B279" s="50" t="n">
        <v>46243</v>
      </c>
      <c r="C279" s="5" t="inlineStr">
        <is>
          <t>S02</t>
        </is>
      </c>
      <c r="D279" s="5" t="inlineStr">
        <is>
          <t>Pune</t>
        </is>
      </c>
      <c r="E279" s="5" t="inlineStr">
        <is>
          <t>P301</t>
        </is>
      </c>
      <c r="F279" s="5" t="inlineStr">
        <is>
          <t>Audio</t>
        </is>
      </c>
      <c r="G279" s="5" t="n">
        <v>1</v>
      </c>
      <c r="H279" s="51" t="n">
        <v>2999</v>
      </c>
      <c r="I279" s="62" t="n">
        <v>0.1</v>
      </c>
      <c r="J279" s="5" t="inlineStr">
        <is>
          <t>Corporate</t>
        </is>
      </c>
      <c r="K279" s="5" t="inlineStr">
        <is>
          <t>Yes</t>
        </is>
      </c>
      <c r="L279" s="51">
        <f>G279*H279*(1-I279)</f>
        <v/>
      </c>
      <c r="M279" s="51">
        <f>G279*INDEX(Lookups!$E$3:$E$12,MATCH(E279,Lookups!$A$3:$A$12,0))</f>
        <v/>
      </c>
      <c r="N279" s="51">
        <f>L279-M279</f>
        <v/>
      </c>
      <c r="O279" s="2" t="n"/>
      <c r="P279" s="2" t="n"/>
    </row>
    <row r="280">
      <c r="A280" s="5" t="inlineStr">
        <is>
          <t>ORD-0310</t>
        </is>
      </c>
      <c r="B280" s="50" t="n">
        <v>46243</v>
      </c>
      <c r="C280" s="5" t="inlineStr">
        <is>
          <t>S01</t>
        </is>
      </c>
      <c r="D280" s="5" t="inlineStr">
        <is>
          <t>Mumbai</t>
        </is>
      </c>
      <c r="E280" s="5" t="inlineStr">
        <is>
          <t>P101</t>
        </is>
      </c>
      <c r="F280" s="5" t="inlineStr">
        <is>
          <t>Mobiles</t>
        </is>
      </c>
      <c r="G280" s="5" t="n">
        <v>1</v>
      </c>
      <c r="H280" s="51" t="n">
        <v>18999</v>
      </c>
      <c r="I280" s="62" t="n">
        <v>0.1</v>
      </c>
      <c r="J280" s="5" t="inlineStr">
        <is>
          <t>Online</t>
        </is>
      </c>
      <c r="K280" s="5" t="inlineStr">
        <is>
          <t>Yes</t>
        </is>
      </c>
      <c r="L280" s="51">
        <f>G280*H280*(1-I280)</f>
        <v/>
      </c>
      <c r="M280" s="51">
        <f>G280*INDEX(Lookups!$E$3:$E$12,MATCH(E280,Lookups!$A$3:$A$12,0))</f>
        <v/>
      </c>
      <c r="N280" s="51">
        <f>L280-M280</f>
        <v/>
      </c>
      <c r="O280" s="2" t="n"/>
      <c r="P280" s="2" t="n"/>
    </row>
    <row r="281">
      <c r="A281" s="5" t="inlineStr">
        <is>
          <t>ORD-0032</t>
        </is>
      </c>
      <c r="B281" s="50" t="n">
        <v>46244</v>
      </c>
      <c r="C281" s="5" t="inlineStr">
        <is>
          <t>S01</t>
        </is>
      </c>
      <c r="D281" s="5" t="inlineStr">
        <is>
          <t>Mumbai</t>
        </is>
      </c>
      <c r="E281" s="5" t="inlineStr">
        <is>
          <t>P101</t>
        </is>
      </c>
      <c r="F281" s="5" t="inlineStr">
        <is>
          <t>Mobiles</t>
        </is>
      </c>
      <c r="G281" s="5" t="n">
        <v>1</v>
      </c>
      <c r="H281" s="51" t="n">
        <v>18999</v>
      </c>
      <c r="I281" s="62" t="n">
        <v>0.1</v>
      </c>
      <c r="J281" s="5" t="inlineStr">
        <is>
          <t>Corporate</t>
        </is>
      </c>
      <c r="K281" s="5" t="inlineStr">
        <is>
          <t>Yes</t>
        </is>
      </c>
      <c r="L281" s="51">
        <f>G281*H281*(1-I281)</f>
        <v/>
      </c>
      <c r="M281" s="51">
        <f>G281*INDEX(Lookups!$E$3:$E$12,MATCH(E281,Lookups!$A$3:$A$12,0))</f>
        <v/>
      </c>
      <c r="N281" s="51">
        <f>L281-M281</f>
        <v/>
      </c>
      <c r="O281" s="2" t="n"/>
      <c r="P281" s="2" t="n"/>
    </row>
    <row r="282">
      <c r="A282" s="5" t="inlineStr">
        <is>
          <t>ORD-0048</t>
        </is>
      </c>
      <c r="B282" s="50" t="n">
        <v>46244</v>
      </c>
      <c r="C282" s="5" t="inlineStr">
        <is>
          <t>S01</t>
        </is>
      </c>
      <c r="D282" s="5" t="inlineStr">
        <is>
          <t>Mumbai</t>
        </is>
      </c>
      <c r="E282" s="5" t="inlineStr">
        <is>
          <t>P401</t>
        </is>
      </c>
      <c r="F282" s="5" t="inlineStr">
        <is>
          <t>Accessories</t>
        </is>
      </c>
      <c r="G282" s="5" t="n">
        <v>1</v>
      </c>
      <c r="H282" s="51" t="n">
        <v>1799</v>
      </c>
      <c r="I282" s="62" t="n">
        <v>0.05</v>
      </c>
      <c r="J282" s="5" t="inlineStr">
        <is>
          <t>Corporate</t>
        </is>
      </c>
      <c r="K282" s="5" t="inlineStr">
        <is>
          <t>Yes</t>
        </is>
      </c>
      <c r="L282" s="51">
        <f>G282*H282*(1-I282)</f>
        <v/>
      </c>
      <c r="M282" s="51">
        <f>G282*INDEX(Lookups!$E$3:$E$12,MATCH(E282,Lookups!$A$3:$A$12,0))</f>
        <v/>
      </c>
      <c r="N282" s="51">
        <f>L282-M282</f>
        <v/>
      </c>
      <c r="O282" s="2" t="n"/>
      <c r="P282" s="2" t="n"/>
    </row>
    <row r="283">
      <c r="A283" s="5" t="inlineStr">
        <is>
          <t>ORD-0070</t>
        </is>
      </c>
      <c r="B283" s="50" t="n">
        <v>46244</v>
      </c>
      <c r="C283" s="5" t="inlineStr">
        <is>
          <t>S03</t>
        </is>
      </c>
      <c r="D283" s="5" t="inlineStr">
        <is>
          <t>Delhi</t>
        </is>
      </c>
      <c r="E283" s="5" t="inlineStr">
        <is>
          <t>P102</t>
        </is>
      </c>
      <c r="F283" s="5" t="inlineStr">
        <is>
          <t>Mobiles</t>
        </is>
      </c>
      <c r="G283" s="5" t="n">
        <v>1</v>
      </c>
      <c r="H283" s="51" t="n">
        <v>32999</v>
      </c>
      <c r="I283" s="62" t="n">
        <v>0</v>
      </c>
      <c r="J283" s="5" t="inlineStr">
        <is>
          <t>Online</t>
        </is>
      </c>
      <c r="K283" s="5" t="inlineStr">
        <is>
          <t>No</t>
        </is>
      </c>
      <c r="L283" s="51">
        <f>G283*H283*(1-I283)</f>
        <v/>
      </c>
      <c r="M283" s="51">
        <f>G283*INDEX(Lookups!$E$3:$E$12,MATCH(E283,Lookups!$A$3:$A$12,0))</f>
        <v/>
      </c>
      <c r="N283" s="51">
        <f>L283-M283</f>
        <v/>
      </c>
      <c r="O283" s="2" t="n"/>
      <c r="P283" s="2" t="n"/>
    </row>
    <row r="284">
      <c r="A284" s="5" t="inlineStr">
        <is>
          <t>ORD-0154</t>
        </is>
      </c>
      <c r="B284" s="50" t="n">
        <v>46244</v>
      </c>
      <c r="C284" s="5" t="inlineStr">
        <is>
          <t>S02</t>
        </is>
      </c>
      <c r="D284" s="5" t="inlineStr">
        <is>
          <t>Pune</t>
        </is>
      </c>
      <c r="E284" s="5" t="inlineStr">
        <is>
          <t>P101</t>
        </is>
      </c>
      <c r="F284" s="5" t="inlineStr">
        <is>
          <t>Mobiles</t>
        </is>
      </c>
      <c r="G284" s="5" t="n">
        <v>2</v>
      </c>
      <c r="H284" s="51" t="n">
        <v>18999</v>
      </c>
      <c r="I284" s="62" t="n">
        <v>0.05</v>
      </c>
      <c r="J284" s="5" t="inlineStr">
        <is>
          <t>Walk-in</t>
        </is>
      </c>
      <c r="K284" s="5" t="inlineStr">
        <is>
          <t>No</t>
        </is>
      </c>
      <c r="L284" s="51">
        <f>G284*H284*(1-I284)</f>
        <v/>
      </c>
      <c r="M284" s="51">
        <f>G284*INDEX(Lookups!$E$3:$E$12,MATCH(E284,Lookups!$A$3:$A$12,0))</f>
        <v/>
      </c>
      <c r="N284" s="51">
        <f>L284-M284</f>
        <v/>
      </c>
      <c r="O284" s="2" t="n"/>
      <c r="P284" s="2" t="n"/>
    </row>
    <row r="285">
      <c r="A285" s="5" t="inlineStr">
        <is>
          <t>ORD-0298</t>
        </is>
      </c>
      <c r="B285" s="50" t="n">
        <v>46244</v>
      </c>
      <c r="C285" s="5" t="inlineStr">
        <is>
          <t>S02</t>
        </is>
      </c>
      <c r="D285" s="5" t="inlineStr">
        <is>
          <t>Pune</t>
        </is>
      </c>
      <c r="E285" s="5" t="inlineStr">
        <is>
          <t>P402</t>
        </is>
      </c>
      <c r="F285" s="5" t="inlineStr">
        <is>
          <t>Accessories</t>
        </is>
      </c>
      <c r="G285" s="5" t="n">
        <v>2</v>
      </c>
      <c r="H285" s="51" t="n">
        <v>1499</v>
      </c>
      <c r="I285" s="62" t="n">
        <v>0</v>
      </c>
      <c r="J285" s="5" t="inlineStr">
        <is>
          <t>Walk-in</t>
        </is>
      </c>
      <c r="K285" s="5" t="inlineStr">
        <is>
          <t>Yes</t>
        </is>
      </c>
      <c r="L285" s="51">
        <f>G285*H285*(1-I285)</f>
        <v/>
      </c>
      <c r="M285" s="51">
        <f>G285*INDEX(Lookups!$E$3:$E$12,MATCH(E285,Lookups!$A$3:$A$12,0))</f>
        <v/>
      </c>
      <c r="N285" s="51">
        <f>L285-M285</f>
        <v/>
      </c>
      <c r="O285" s="2" t="n"/>
      <c r="P285" s="2" t="n"/>
    </row>
    <row r="286">
      <c r="A286" s="5" t="inlineStr">
        <is>
          <t>ORD-0360</t>
        </is>
      </c>
      <c r="B286" s="50" t="n">
        <v>46244</v>
      </c>
      <c r="C286" s="5" t="inlineStr">
        <is>
          <t>S05</t>
        </is>
      </c>
      <c r="D286" s="5" t="inlineStr">
        <is>
          <t>Chennai</t>
        </is>
      </c>
      <c r="E286" s="5" t="inlineStr">
        <is>
          <t>P501</t>
        </is>
      </c>
      <c r="F286" s="5" t="inlineStr">
        <is>
          <t>TV</t>
        </is>
      </c>
      <c r="G286" s="5" t="n">
        <v>1</v>
      </c>
      <c r="H286" s="51" t="n">
        <v>32999</v>
      </c>
      <c r="I286" s="62" t="n">
        <v>0</v>
      </c>
      <c r="J286" s="5" t="inlineStr">
        <is>
          <t>Online</t>
        </is>
      </c>
      <c r="K286" s="5" t="inlineStr">
        <is>
          <t>Yes</t>
        </is>
      </c>
      <c r="L286" s="51">
        <f>G286*H286*(1-I286)</f>
        <v/>
      </c>
      <c r="M286" s="51">
        <f>G286*INDEX(Lookups!$E$3:$E$12,MATCH(E286,Lookups!$A$3:$A$12,0))</f>
        <v/>
      </c>
      <c r="N286" s="51">
        <f>L286-M286</f>
        <v/>
      </c>
      <c r="O286" s="2" t="n"/>
      <c r="P286" s="2" t="n"/>
    </row>
    <row r="287">
      <c r="A287" s="5" t="inlineStr">
        <is>
          <t>ORD-0396</t>
        </is>
      </c>
      <c r="B287" s="50" t="n">
        <v>46244</v>
      </c>
      <c r="C287" s="5" t="inlineStr">
        <is>
          <t>S06</t>
        </is>
      </c>
      <c r="D287" s="5" t="inlineStr">
        <is>
          <t>Gurugram</t>
        </is>
      </c>
      <c r="E287" s="5" t="inlineStr">
        <is>
          <t>P501</t>
        </is>
      </c>
      <c r="F287" s="5" t="inlineStr">
        <is>
          <t>TV</t>
        </is>
      </c>
      <c r="G287" s="5" t="n">
        <v>1</v>
      </c>
      <c r="H287" s="51" t="n">
        <v>32999</v>
      </c>
      <c r="I287" s="62" t="n">
        <v>0.05</v>
      </c>
      <c r="J287" s="5" t="inlineStr">
        <is>
          <t>Corporate</t>
        </is>
      </c>
      <c r="K287" s="5" t="inlineStr">
        <is>
          <t>No</t>
        </is>
      </c>
      <c r="L287" s="51">
        <f>G287*H287*(1-I287)</f>
        <v/>
      </c>
      <c r="M287" s="51">
        <f>G287*INDEX(Lookups!$E$3:$E$12,MATCH(E287,Lookups!$A$3:$A$12,0))</f>
        <v/>
      </c>
      <c r="N287" s="51">
        <f>L287-M287</f>
        <v/>
      </c>
      <c r="O287" s="2" t="n"/>
      <c r="P287" s="2" t="n"/>
    </row>
    <row r="288">
      <c r="A288" s="5" t="inlineStr">
        <is>
          <t>ORD-0145</t>
        </is>
      </c>
      <c r="B288" s="50" t="n">
        <v>46246</v>
      </c>
      <c r="C288" s="5" t="inlineStr">
        <is>
          <t>S05</t>
        </is>
      </c>
      <c r="D288" s="5" t="inlineStr">
        <is>
          <t>Chennai</t>
        </is>
      </c>
      <c r="E288" s="5" t="inlineStr">
        <is>
          <t>P402</t>
        </is>
      </c>
      <c r="F288" s="5" t="inlineStr">
        <is>
          <t>Accessories</t>
        </is>
      </c>
      <c r="G288" s="5" t="n">
        <v>1</v>
      </c>
      <c r="H288" s="51" t="n">
        <v>1499</v>
      </c>
      <c r="I288" s="62" t="n">
        <v>0</v>
      </c>
      <c r="J288" s="5" t="inlineStr">
        <is>
          <t>Walk-in</t>
        </is>
      </c>
      <c r="K288" s="5" t="inlineStr">
        <is>
          <t>No</t>
        </is>
      </c>
      <c r="L288" s="51">
        <f>G288*H288*(1-I288)</f>
        <v/>
      </c>
      <c r="M288" s="51">
        <f>G288*INDEX(Lookups!$E$3:$E$12,MATCH(E288,Lookups!$A$3:$A$12,0))</f>
        <v/>
      </c>
      <c r="N288" s="51">
        <f>L288-M288</f>
        <v/>
      </c>
      <c r="O288" s="2" t="n"/>
      <c r="P288" s="2" t="n"/>
    </row>
    <row r="289">
      <c r="A289" s="5" t="inlineStr">
        <is>
          <t>ORD-0330</t>
        </is>
      </c>
      <c r="B289" s="50" t="n">
        <v>46246</v>
      </c>
      <c r="C289" s="5" t="inlineStr">
        <is>
          <t>S03</t>
        </is>
      </c>
      <c r="D289" s="5" t="inlineStr">
        <is>
          <t>Delhi</t>
        </is>
      </c>
      <c r="E289" s="5" t="inlineStr">
        <is>
          <t>P301</t>
        </is>
      </c>
      <c r="F289" s="5" t="inlineStr">
        <is>
          <t>Audio</t>
        </is>
      </c>
      <c r="G289" s="5" t="n">
        <v>1</v>
      </c>
      <c r="H289" s="51" t="n">
        <v>2999</v>
      </c>
      <c r="I289" s="62" t="n">
        <v>0.1</v>
      </c>
      <c r="J289" s="5" t="inlineStr">
        <is>
          <t>Online</t>
        </is>
      </c>
      <c r="K289" s="5" t="inlineStr">
        <is>
          <t>No</t>
        </is>
      </c>
      <c r="L289" s="51">
        <f>G289*H289*(1-I289)</f>
        <v/>
      </c>
      <c r="M289" s="51">
        <f>G289*INDEX(Lookups!$E$3:$E$12,MATCH(E289,Lookups!$A$3:$A$12,0))</f>
        <v/>
      </c>
      <c r="N289" s="51">
        <f>L289-M289</f>
        <v/>
      </c>
      <c r="O289" s="2" t="n"/>
      <c r="P289" s="2" t="n"/>
    </row>
    <row r="290">
      <c r="A290" s="5" t="inlineStr">
        <is>
          <t>ORD-0081</t>
        </is>
      </c>
      <c r="B290" s="50" t="n">
        <v>46247</v>
      </c>
      <c r="C290" s="5" t="inlineStr">
        <is>
          <t>S01</t>
        </is>
      </c>
      <c r="D290" s="5" t="inlineStr">
        <is>
          <t>Mumbai</t>
        </is>
      </c>
      <c r="E290" s="5" t="inlineStr">
        <is>
          <t>P401</t>
        </is>
      </c>
      <c r="F290" s="5" t="inlineStr">
        <is>
          <t>Accessories</t>
        </is>
      </c>
      <c r="G290" s="5" t="n">
        <v>1</v>
      </c>
      <c r="H290" s="51" t="n">
        <v>1799</v>
      </c>
      <c r="I290" s="62" t="n">
        <v>0.1</v>
      </c>
      <c r="J290" s="5" t="inlineStr">
        <is>
          <t>Online</t>
        </is>
      </c>
      <c r="K290" s="5" t="inlineStr">
        <is>
          <t>No</t>
        </is>
      </c>
      <c r="L290" s="51">
        <f>G290*H290*(1-I290)</f>
        <v/>
      </c>
      <c r="M290" s="51">
        <f>G290*INDEX(Lookups!$E$3:$E$12,MATCH(E290,Lookups!$A$3:$A$12,0))</f>
        <v/>
      </c>
      <c r="N290" s="51">
        <f>L290-M290</f>
        <v/>
      </c>
      <c r="O290" s="2" t="n"/>
      <c r="P290" s="2" t="n"/>
    </row>
    <row r="291">
      <c r="A291" s="5" t="inlineStr">
        <is>
          <t>ORD-0271</t>
        </is>
      </c>
      <c r="B291" s="50" t="n">
        <v>46247</v>
      </c>
      <c r="C291" s="5" t="inlineStr">
        <is>
          <t>S04</t>
        </is>
      </c>
      <c r="D291" s="5" t="inlineStr">
        <is>
          <t>Bengaluru</t>
        </is>
      </c>
      <c r="E291" s="5" t="inlineStr">
        <is>
          <t>P101</t>
        </is>
      </c>
      <c r="F291" s="5" t="inlineStr">
        <is>
          <t>Mobiles</t>
        </is>
      </c>
      <c r="G291" s="5" t="n">
        <v>1</v>
      </c>
      <c r="H291" s="51" t="n">
        <v>18999</v>
      </c>
      <c r="I291" s="62" t="n">
        <v>0</v>
      </c>
      <c r="J291" s="5" t="inlineStr">
        <is>
          <t>Walk-in</t>
        </is>
      </c>
      <c r="K291" s="5" t="inlineStr">
        <is>
          <t>No</t>
        </is>
      </c>
      <c r="L291" s="51">
        <f>G291*H291*(1-I291)</f>
        <v/>
      </c>
      <c r="M291" s="51">
        <f>G291*INDEX(Lookups!$E$3:$E$12,MATCH(E291,Lookups!$A$3:$A$12,0))</f>
        <v/>
      </c>
      <c r="N291" s="51">
        <f>L291-M291</f>
        <v/>
      </c>
      <c r="O291" s="2" t="n"/>
      <c r="P291" s="2" t="n"/>
    </row>
    <row r="292">
      <c r="A292" s="5" t="inlineStr">
        <is>
          <t>ORD-0275</t>
        </is>
      </c>
      <c r="B292" s="50" t="n">
        <v>46248</v>
      </c>
      <c r="C292" s="5" t="inlineStr">
        <is>
          <t>S04</t>
        </is>
      </c>
      <c r="D292" s="5" t="inlineStr">
        <is>
          <t>Bengaluru</t>
        </is>
      </c>
      <c r="E292" s="5" t="inlineStr">
        <is>
          <t>P402</t>
        </is>
      </c>
      <c r="F292" s="5" t="inlineStr">
        <is>
          <t>Accessories</t>
        </is>
      </c>
      <c r="G292" s="5" t="n">
        <v>1</v>
      </c>
      <c r="H292" s="51" t="n">
        <v>1499</v>
      </c>
      <c r="I292" s="62" t="n">
        <v>0</v>
      </c>
      <c r="J292" s="5" t="inlineStr">
        <is>
          <t>Corporate</t>
        </is>
      </c>
      <c r="K292" s="5" t="inlineStr">
        <is>
          <t>Yes</t>
        </is>
      </c>
      <c r="L292" s="51">
        <f>G292*H292*(1-I292)</f>
        <v/>
      </c>
      <c r="M292" s="51">
        <f>G292*INDEX(Lookups!$E$3:$E$12,MATCH(E292,Lookups!$A$3:$A$12,0))</f>
        <v/>
      </c>
      <c r="N292" s="51">
        <f>L292-M292</f>
        <v/>
      </c>
      <c r="O292" s="2" t="n"/>
      <c r="P292" s="2" t="n"/>
    </row>
    <row r="293">
      <c r="A293" s="5" t="inlineStr">
        <is>
          <t>ORD-0212</t>
        </is>
      </c>
      <c r="B293" s="50" t="n">
        <v>46249</v>
      </c>
      <c r="C293" s="5" t="inlineStr">
        <is>
          <t>S05</t>
        </is>
      </c>
      <c r="D293" s="5" t="inlineStr">
        <is>
          <t>Chennai</t>
        </is>
      </c>
      <c r="E293" s="5" t="inlineStr">
        <is>
          <t>P301</t>
        </is>
      </c>
      <c r="F293" s="5" t="inlineStr">
        <is>
          <t>Audio</t>
        </is>
      </c>
      <c r="G293" s="5" t="n">
        <v>1</v>
      </c>
      <c r="H293" s="51" t="n">
        <v>2999</v>
      </c>
      <c r="I293" s="62" t="n">
        <v>0.05</v>
      </c>
      <c r="J293" s="5" t="inlineStr">
        <is>
          <t>Corporate</t>
        </is>
      </c>
      <c r="K293" s="5" t="inlineStr">
        <is>
          <t>No</t>
        </is>
      </c>
      <c r="L293" s="51">
        <f>G293*H293*(1-I293)</f>
        <v/>
      </c>
      <c r="M293" s="51">
        <f>G293*INDEX(Lookups!$E$3:$E$12,MATCH(E293,Lookups!$A$3:$A$12,0))</f>
        <v/>
      </c>
      <c r="N293" s="51">
        <f>L293-M293</f>
        <v/>
      </c>
      <c r="O293" s="2" t="n"/>
      <c r="P293" s="2" t="n"/>
    </row>
    <row r="294">
      <c r="A294" s="5" t="inlineStr">
        <is>
          <t>ORD-0375</t>
        </is>
      </c>
      <c r="B294" s="50" t="n">
        <v>46249</v>
      </c>
      <c r="C294" s="5" t="inlineStr">
        <is>
          <t>S06</t>
        </is>
      </c>
      <c r="D294" s="5" t="inlineStr">
        <is>
          <t>Gurugram</t>
        </is>
      </c>
      <c r="E294" s="5" t="inlineStr">
        <is>
          <t>P501</t>
        </is>
      </c>
      <c r="F294" s="5" t="inlineStr">
        <is>
          <t>TV</t>
        </is>
      </c>
      <c r="G294" s="5" t="n">
        <v>1</v>
      </c>
      <c r="H294" s="51" t="n">
        <v>32999</v>
      </c>
      <c r="I294" s="62" t="n">
        <v>0</v>
      </c>
      <c r="J294" s="5" t="inlineStr">
        <is>
          <t>Online</t>
        </is>
      </c>
      <c r="K294" s="5" t="inlineStr">
        <is>
          <t>No</t>
        </is>
      </c>
      <c r="L294" s="51">
        <f>G294*H294*(1-I294)</f>
        <v/>
      </c>
      <c r="M294" s="51">
        <f>G294*INDEX(Lookups!$E$3:$E$12,MATCH(E294,Lookups!$A$3:$A$12,0))</f>
        <v/>
      </c>
      <c r="N294" s="51">
        <f>L294-M294</f>
        <v/>
      </c>
      <c r="O294" s="2" t="n"/>
      <c r="P294" s="2" t="n"/>
    </row>
    <row r="295">
      <c r="A295" s="5" t="inlineStr">
        <is>
          <t>ORD-0313</t>
        </is>
      </c>
      <c r="B295" s="50" t="n">
        <v>46250</v>
      </c>
      <c r="C295" s="5" t="inlineStr">
        <is>
          <t>S03</t>
        </is>
      </c>
      <c r="D295" s="5" t="inlineStr">
        <is>
          <t>Delhi</t>
        </is>
      </c>
      <c r="E295" s="5" t="inlineStr">
        <is>
          <t>P301</t>
        </is>
      </c>
      <c r="F295" s="5" t="inlineStr">
        <is>
          <t>Audio</t>
        </is>
      </c>
      <c r="G295" s="5" t="n">
        <v>1</v>
      </c>
      <c r="H295" s="51" t="n">
        <v>2999</v>
      </c>
      <c r="I295" s="62" t="n">
        <v>0</v>
      </c>
      <c r="J295" s="5" t="inlineStr">
        <is>
          <t>Online</t>
        </is>
      </c>
      <c r="K295" s="5" t="inlineStr">
        <is>
          <t>No</t>
        </is>
      </c>
      <c r="L295" s="51">
        <f>G295*H295*(1-I295)</f>
        <v/>
      </c>
      <c r="M295" s="51">
        <f>G295*INDEX(Lookups!$E$3:$E$12,MATCH(E295,Lookups!$A$3:$A$12,0))</f>
        <v/>
      </c>
      <c r="N295" s="51">
        <f>L295-M295</f>
        <v/>
      </c>
      <c r="O295" s="2" t="n"/>
      <c r="P295" s="2" t="n"/>
    </row>
    <row r="296">
      <c r="A296" s="5" t="inlineStr">
        <is>
          <t>ORD-0009</t>
        </is>
      </c>
      <c r="B296" s="50" t="n">
        <v>46252</v>
      </c>
      <c r="C296" s="5" t="inlineStr">
        <is>
          <t>S03</t>
        </is>
      </c>
      <c r="D296" s="5" t="inlineStr">
        <is>
          <t>Delhi</t>
        </is>
      </c>
      <c r="E296" s="5" t="inlineStr">
        <is>
          <t>P402</t>
        </is>
      </c>
      <c r="F296" s="5" t="inlineStr">
        <is>
          <t>Accessories</t>
        </is>
      </c>
      <c r="G296" s="5" t="n">
        <v>1</v>
      </c>
      <c r="H296" s="51" t="n">
        <v>1499</v>
      </c>
      <c r="I296" s="62" t="n">
        <v>0</v>
      </c>
      <c r="J296" s="5" t="inlineStr">
        <is>
          <t>Online</t>
        </is>
      </c>
      <c r="K296" s="5" t="inlineStr">
        <is>
          <t>No</t>
        </is>
      </c>
      <c r="L296" s="51">
        <f>G296*H296*(1-I296)</f>
        <v/>
      </c>
      <c r="M296" s="51">
        <f>G296*INDEX(Lookups!$E$3:$E$12,MATCH(E296,Lookups!$A$3:$A$12,0))</f>
        <v/>
      </c>
      <c r="N296" s="51">
        <f>L296-M296</f>
        <v/>
      </c>
      <c r="O296" s="2" t="n"/>
      <c r="P296" s="2" t="n"/>
    </row>
    <row r="297">
      <c r="A297" s="5" t="inlineStr">
        <is>
          <t>ORD-0099</t>
        </is>
      </c>
      <c r="B297" s="50" t="n">
        <v>46252</v>
      </c>
      <c r="C297" s="5" t="inlineStr">
        <is>
          <t>S06</t>
        </is>
      </c>
      <c r="D297" s="5" t="inlineStr">
        <is>
          <t>Gurugram</t>
        </is>
      </c>
      <c r="E297" s="5" t="inlineStr">
        <is>
          <t>P402</t>
        </is>
      </c>
      <c r="F297" s="5" t="inlineStr">
        <is>
          <t>Accessories</t>
        </is>
      </c>
      <c r="G297" s="5" t="n">
        <v>1</v>
      </c>
      <c r="H297" s="51" t="n">
        <v>1499</v>
      </c>
      <c r="I297" s="62" t="n">
        <v>0</v>
      </c>
      <c r="J297" s="5" t="inlineStr">
        <is>
          <t>Walk-in</t>
        </is>
      </c>
      <c r="K297" s="5" t="inlineStr">
        <is>
          <t>No</t>
        </is>
      </c>
      <c r="L297" s="51">
        <f>G297*H297*(1-I297)</f>
        <v/>
      </c>
      <c r="M297" s="51">
        <f>G297*INDEX(Lookups!$E$3:$E$12,MATCH(E297,Lookups!$A$3:$A$12,0))</f>
        <v/>
      </c>
      <c r="N297" s="51">
        <f>L297-M297</f>
        <v/>
      </c>
      <c r="O297" s="2" t="n"/>
      <c r="P297" s="2" t="n"/>
    </row>
    <row r="298">
      <c r="A298" s="5" t="inlineStr">
        <is>
          <t>ORD-0239</t>
        </is>
      </c>
      <c r="B298" s="50" t="n">
        <v>46252</v>
      </c>
      <c r="C298" s="5" t="inlineStr">
        <is>
          <t>S06</t>
        </is>
      </c>
      <c r="D298" s="5" t="inlineStr">
        <is>
          <t>Gurugram</t>
        </is>
      </c>
      <c r="E298" s="5" t="inlineStr">
        <is>
          <t>P401</t>
        </is>
      </c>
      <c r="F298" s="5" t="inlineStr">
        <is>
          <t>Accessories</t>
        </is>
      </c>
      <c r="G298" s="5" t="n">
        <v>1</v>
      </c>
      <c r="H298" s="51" t="n">
        <v>1799</v>
      </c>
      <c r="I298" s="62" t="n">
        <v>0.1</v>
      </c>
      <c r="J298" s="5" t="inlineStr">
        <is>
          <t>Walk-in</t>
        </is>
      </c>
      <c r="K298" s="5" t="inlineStr">
        <is>
          <t>No</t>
        </is>
      </c>
      <c r="L298" s="51">
        <f>G298*H298*(1-I298)</f>
        <v/>
      </c>
      <c r="M298" s="51">
        <f>G298*INDEX(Lookups!$E$3:$E$12,MATCH(E298,Lookups!$A$3:$A$12,0))</f>
        <v/>
      </c>
      <c r="N298" s="51">
        <f>L298-M298</f>
        <v/>
      </c>
      <c r="O298" s="2" t="n"/>
      <c r="P298" s="2" t="n"/>
    </row>
    <row r="299">
      <c r="A299" s="5" t="inlineStr">
        <is>
          <t>ORD-0332</t>
        </is>
      </c>
      <c r="B299" s="50" t="n">
        <v>46252</v>
      </c>
      <c r="C299" s="5" t="inlineStr">
        <is>
          <t>S06</t>
        </is>
      </c>
      <c r="D299" s="5" t="inlineStr">
        <is>
          <t>Gurugram</t>
        </is>
      </c>
      <c r="E299" s="5" t="inlineStr">
        <is>
          <t>P402</t>
        </is>
      </c>
      <c r="F299" s="5" t="inlineStr">
        <is>
          <t>Accessories</t>
        </is>
      </c>
      <c r="G299" s="5" t="n">
        <v>1</v>
      </c>
      <c r="H299" s="51" t="n">
        <v>1499</v>
      </c>
      <c r="I299" s="62" t="n">
        <v>0.05</v>
      </c>
      <c r="J299" s="5" t="inlineStr">
        <is>
          <t>Walk-in</t>
        </is>
      </c>
      <c r="K299" s="5" t="inlineStr">
        <is>
          <t>Yes</t>
        </is>
      </c>
      <c r="L299" s="51">
        <f>G299*H299*(1-I299)</f>
        <v/>
      </c>
      <c r="M299" s="51">
        <f>G299*INDEX(Lookups!$E$3:$E$12,MATCH(E299,Lookups!$A$3:$A$12,0))</f>
        <v/>
      </c>
      <c r="N299" s="51">
        <f>L299-M299</f>
        <v/>
      </c>
      <c r="O299" s="2" t="n"/>
      <c r="P299" s="2" t="n"/>
    </row>
    <row r="300">
      <c r="A300" s="5" t="inlineStr">
        <is>
          <t>ORD-0103</t>
        </is>
      </c>
      <c r="B300" s="50" t="n">
        <v>46255</v>
      </c>
      <c r="C300" s="5" t="inlineStr">
        <is>
          <t>S03</t>
        </is>
      </c>
      <c r="D300" s="5" t="inlineStr">
        <is>
          <t>Delhi</t>
        </is>
      </c>
      <c r="E300" s="5" t="inlineStr">
        <is>
          <t>P102</t>
        </is>
      </c>
      <c r="F300" s="5" t="inlineStr">
        <is>
          <t>Mobiles</t>
        </is>
      </c>
      <c r="G300" s="5" t="n">
        <v>1</v>
      </c>
      <c r="H300" s="51" t="n">
        <v>32999</v>
      </c>
      <c r="I300" s="62" t="n">
        <v>0.05</v>
      </c>
      <c r="J300" s="5" t="inlineStr">
        <is>
          <t>Walk-in</t>
        </is>
      </c>
      <c r="K300" s="5" t="inlineStr">
        <is>
          <t>Yes</t>
        </is>
      </c>
      <c r="L300" s="51">
        <f>G300*H300*(1-I300)</f>
        <v/>
      </c>
      <c r="M300" s="51">
        <f>G300*INDEX(Lookups!$E$3:$E$12,MATCH(E300,Lookups!$A$3:$A$12,0))</f>
        <v/>
      </c>
      <c r="N300" s="51">
        <f>L300-M300</f>
        <v/>
      </c>
      <c r="O300" s="2" t="n"/>
      <c r="P300" s="2" t="n"/>
    </row>
    <row r="301">
      <c r="A301" s="5" t="inlineStr">
        <is>
          <t>ORD-0188</t>
        </is>
      </c>
      <c r="B301" s="50" t="n">
        <v>46256</v>
      </c>
      <c r="C301" s="5" t="inlineStr">
        <is>
          <t>S03</t>
        </is>
      </c>
      <c r="D301" s="5" t="inlineStr">
        <is>
          <t>Delhi</t>
        </is>
      </c>
      <c r="E301" s="5" t="inlineStr">
        <is>
          <t>P201</t>
        </is>
      </c>
      <c r="F301" s="5" t="inlineStr">
        <is>
          <t>Laptops</t>
        </is>
      </c>
      <c r="G301" s="5" t="n">
        <v>1</v>
      </c>
      <c r="H301" s="51" t="n">
        <v>54999</v>
      </c>
      <c r="I301" s="62" t="n">
        <v>0</v>
      </c>
      <c r="J301" s="5" t="inlineStr">
        <is>
          <t>Walk-in</t>
        </is>
      </c>
      <c r="K301" s="5" t="inlineStr">
        <is>
          <t>No</t>
        </is>
      </c>
      <c r="L301" s="51">
        <f>G301*H301*(1-I301)</f>
        <v/>
      </c>
      <c r="M301" s="51">
        <f>G301*INDEX(Lookups!$E$3:$E$12,MATCH(E301,Lookups!$A$3:$A$12,0))</f>
        <v/>
      </c>
      <c r="N301" s="51">
        <f>L301-M301</f>
        <v/>
      </c>
      <c r="O301" s="2" t="n"/>
      <c r="P301" s="2" t="n"/>
    </row>
    <row r="302">
      <c r="A302" s="5" t="inlineStr">
        <is>
          <t>ORD-0199</t>
        </is>
      </c>
      <c r="B302" s="50" t="n">
        <v>46256</v>
      </c>
      <c r="C302" s="5" t="inlineStr">
        <is>
          <t>S04</t>
        </is>
      </c>
      <c r="D302" s="5" t="inlineStr">
        <is>
          <t>Bengaluru</t>
        </is>
      </c>
      <c r="E302" s="5" t="inlineStr">
        <is>
          <t>P501</t>
        </is>
      </c>
      <c r="F302" s="5" t="inlineStr">
        <is>
          <t>TV</t>
        </is>
      </c>
      <c r="G302" s="5" t="n">
        <v>1</v>
      </c>
      <c r="H302" s="51" t="n">
        <v>32999</v>
      </c>
      <c r="I302" s="62" t="n">
        <v>0.05</v>
      </c>
      <c r="J302" s="5" t="inlineStr">
        <is>
          <t>Walk-in</t>
        </is>
      </c>
      <c r="K302" s="5" t="inlineStr">
        <is>
          <t>Yes</t>
        </is>
      </c>
      <c r="L302" s="51">
        <f>G302*H302*(1-I302)</f>
        <v/>
      </c>
      <c r="M302" s="51">
        <f>G302*INDEX(Lookups!$E$3:$E$12,MATCH(E302,Lookups!$A$3:$A$12,0))</f>
        <v/>
      </c>
      <c r="N302" s="51">
        <f>L302-M302</f>
        <v/>
      </c>
      <c r="O302" s="2" t="n"/>
      <c r="P302" s="2" t="n"/>
    </row>
    <row r="303">
      <c r="A303" s="5" t="inlineStr">
        <is>
          <t>ORD-0254</t>
        </is>
      </c>
      <c r="B303" s="50" t="n">
        <v>46256</v>
      </c>
      <c r="C303" s="5" t="inlineStr">
        <is>
          <t>S06</t>
        </is>
      </c>
      <c r="D303" s="5" t="inlineStr">
        <is>
          <t>Gurugram</t>
        </is>
      </c>
      <c r="E303" s="5" t="inlineStr">
        <is>
          <t>P201</t>
        </is>
      </c>
      <c r="F303" s="5" t="inlineStr">
        <is>
          <t>Laptops</t>
        </is>
      </c>
      <c r="G303" s="5" t="n">
        <v>1</v>
      </c>
      <c r="H303" s="51" t="n">
        <v>54999</v>
      </c>
      <c r="I303" s="62" t="n">
        <v>0</v>
      </c>
      <c r="J303" s="5" t="inlineStr">
        <is>
          <t>Online</t>
        </is>
      </c>
      <c r="K303" s="5" t="inlineStr">
        <is>
          <t>Yes</t>
        </is>
      </c>
      <c r="L303" s="51">
        <f>G303*H303*(1-I303)</f>
        <v/>
      </c>
      <c r="M303" s="51">
        <f>G303*INDEX(Lookups!$E$3:$E$12,MATCH(E303,Lookups!$A$3:$A$12,0))</f>
        <v/>
      </c>
      <c r="N303" s="51">
        <f>L303-M303</f>
        <v/>
      </c>
      <c r="O303" s="2" t="n"/>
      <c r="P303" s="2" t="n"/>
    </row>
    <row r="304">
      <c r="A304" s="5" t="inlineStr">
        <is>
          <t>ORD-0155</t>
        </is>
      </c>
      <c r="B304" s="50" t="n">
        <v>46257</v>
      </c>
      <c r="C304" s="5" t="inlineStr">
        <is>
          <t>S04</t>
        </is>
      </c>
      <c r="D304" s="5" t="inlineStr">
        <is>
          <t>Bengaluru</t>
        </is>
      </c>
      <c r="E304" s="5" t="inlineStr">
        <is>
          <t>P302</t>
        </is>
      </c>
      <c r="F304" s="5" t="inlineStr">
        <is>
          <t>Audio</t>
        </is>
      </c>
      <c r="G304" s="5" t="n">
        <v>1</v>
      </c>
      <c r="H304" s="51" t="n">
        <v>4499</v>
      </c>
      <c r="I304" s="62" t="n">
        <v>0.1</v>
      </c>
      <c r="J304" s="5" t="inlineStr">
        <is>
          <t>Walk-in</t>
        </is>
      </c>
      <c r="K304" s="5" t="inlineStr">
        <is>
          <t>No</t>
        </is>
      </c>
      <c r="L304" s="51">
        <f>G304*H304*(1-I304)</f>
        <v/>
      </c>
      <c r="M304" s="51">
        <f>G304*INDEX(Lookups!$E$3:$E$12,MATCH(E304,Lookups!$A$3:$A$12,0))</f>
        <v/>
      </c>
      <c r="N304" s="51">
        <f>L304-M304</f>
        <v/>
      </c>
      <c r="O304" s="2" t="n"/>
      <c r="P304" s="2" t="n"/>
    </row>
    <row r="305">
      <c r="A305" s="5" t="inlineStr">
        <is>
          <t>ORD-0014</t>
        </is>
      </c>
      <c r="B305" s="50" t="n">
        <v>46258</v>
      </c>
      <c r="C305" s="5" t="inlineStr">
        <is>
          <t>S01</t>
        </is>
      </c>
      <c r="D305" s="5" t="inlineStr">
        <is>
          <t>Mumbai</t>
        </is>
      </c>
      <c r="E305" s="5" t="inlineStr">
        <is>
          <t>P101</t>
        </is>
      </c>
      <c r="F305" s="5" t="inlineStr">
        <is>
          <t>Mobiles</t>
        </is>
      </c>
      <c r="G305" s="5" t="n">
        <v>4</v>
      </c>
      <c r="H305" s="51" t="n">
        <v>18999</v>
      </c>
      <c r="I305" s="62" t="n">
        <v>0.05</v>
      </c>
      <c r="J305" s="5" t="inlineStr">
        <is>
          <t>Walk-in</t>
        </is>
      </c>
      <c r="K305" s="5" t="inlineStr">
        <is>
          <t>No</t>
        </is>
      </c>
      <c r="L305" s="51">
        <f>G305*H305*(1-I305)</f>
        <v/>
      </c>
      <c r="M305" s="51">
        <f>G305*INDEX(Lookups!$E$3:$E$12,MATCH(E305,Lookups!$A$3:$A$12,0))</f>
        <v/>
      </c>
      <c r="N305" s="51">
        <f>L305-M305</f>
        <v/>
      </c>
      <c r="O305" s="2" t="n"/>
      <c r="P305" s="2" t="n"/>
    </row>
    <row r="306">
      <c r="A306" s="5" t="inlineStr">
        <is>
          <t>ORD-0073</t>
        </is>
      </c>
      <c r="B306" s="50" t="n">
        <v>46258</v>
      </c>
      <c r="C306" s="5" t="inlineStr">
        <is>
          <t>S01</t>
        </is>
      </c>
      <c r="D306" s="5" t="inlineStr">
        <is>
          <t>Mumbai</t>
        </is>
      </c>
      <c r="E306" s="5" t="inlineStr">
        <is>
          <t>P101</t>
        </is>
      </c>
      <c r="F306" s="5" t="inlineStr">
        <is>
          <t>Mobiles</t>
        </is>
      </c>
      <c r="G306" s="5" t="n">
        <v>1</v>
      </c>
      <c r="H306" s="51" t="n">
        <v>18999</v>
      </c>
      <c r="I306" s="62" t="n">
        <v>0.05</v>
      </c>
      <c r="J306" s="5" t="inlineStr">
        <is>
          <t>Corporate</t>
        </is>
      </c>
      <c r="K306" s="5" t="inlineStr">
        <is>
          <t>Yes</t>
        </is>
      </c>
      <c r="L306" s="51">
        <f>G306*H306*(1-I306)</f>
        <v/>
      </c>
      <c r="M306" s="51">
        <f>G306*INDEX(Lookups!$E$3:$E$12,MATCH(E306,Lookups!$A$3:$A$12,0))</f>
        <v/>
      </c>
      <c r="N306" s="51">
        <f>L306-M306</f>
        <v/>
      </c>
      <c r="O306" s="2" t="n"/>
      <c r="P306" s="2" t="n"/>
    </row>
    <row r="307">
      <c r="A307" s="5" t="inlineStr">
        <is>
          <t>ORD-0151</t>
        </is>
      </c>
      <c r="B307" s="50" t="n">
        <v>46258</v>
      </c>
      <c r="C307" s="5" t="inlineStr">
        <is>
          <t>S06</t>
        </is>
      </c>
      <c r="D307" s="5" t="inlineStr">
        <is>
          <t>Gurugram</t>
        </is>
      </c>
      <c r="E307" s="5" t="inlineStr">
        <is>
          <t>P402</t>
        </is>
      </c>
      <c r="F307" s="5" t="inlineStr">
        <is>
          <t>Accessories</t>
        </is>
      </c>
      <c r="G307" s="5" t="n">
        <v>1</v>
      </c>
      <c r="H307" s="51" t="n">
        <v>1499</v>
      </c>
      <c r="I307" s="62" t="n">
        <v>0</v>
      </c>
      <c r="J307" s="5" t="inlineStr">
        <is>
          <t>Walk-in</t>
        </is>
      </c>
      <c r="K307" s="5" t="inlineStr">
        <is>
          <t>No</t>
        </is>
      </c>
      <c r="L307" s="51">
        <f>G307*H307*(1-I307)</f>
        <v/>
      </c>
      <c r="M307" s="51">
        <f>G307*INDEX(Lookups!$E$3:$E$12,MATCH(E307,Lookups!$A$3:$A$12,0))</f>
        <v/>
      </c>
      <c r="N307" s="51">
        <f>L307-M307</f>
        <v/>
      </c>
      <c r="O307" s="2" t="n"/>
      <c r="P307" s="2" t="n"/>
    </row>
    <row r="308">
      <c r="A308" s="5" t="inlineStr">
        <is>
          <t>ORD-0167</t>
        </is>
      </c>
      <c r="B308" s="50" t="n">
        <v>46258</v>
      </c>
      <c r="C308" s="5" t="inlineStr">
        <is>
          <t>S01</t>
        </is>
      </c>
      <c r="D308" s="5" t="inlineStr">
        <is>
          <t>Mumbai</t>
        </is>
      </c>
      <c r="E308" s="5" t="inlineStr">
        <is>
          <t>P402</t>
        </is>
      </c>
      <c r="F308" s="5" t="inlineStr">
        <is>
          <t>Accessories</t>
        </is>
      </c>
      <c r="G308" s="5" t="n">
        <v>1</v>
      </c>
      <c r="H308" s="51" t="n">
        <v>1499</v>
      </c>
      <c r="I308" s="62" t="n">
        <v>0.05</v>
      </c>
      <c r="J308" s="5" t="inlineStr">
        <is>
          <t>Walk-in</t>
        </is>
      </c>
      <c r="K308" s="5" t="inlineStr">
        <is>
          <t>No</t>
        </is>
      </c>
      <c r="L308" s="51">
        <f>G308*H308*(1-I308)</f>
        <v/>
      </c>
      <c r="M308" s="51">
        <f>G308*INDEX(Lookups!$E$3:$E$12,MATCH(E308,Lookups!$A$3:$A$12,0))</f>
        <v/>
      </c>
      <c r="N308" s="51">
        <f>L308-M308</f>
        <v/>
      </c>
      <c r="O308" s="2" t="n"/>
      <c r="P308" s="2" t="n"/>
    </row>
    <row r="309">
      <c r="A309" s="5" t="inlineStr">
        <is>
          <t>ORD-0253</t>
        </is>
      </c>
      <c r="B309" s="50" t="n">
        <v>46258</v>
      </c>
      <c r="C309" s="5" t="inlineStr">
        <is>
          <t>S03</t>
        </is>
      </c>
      <c r="D309" s="5" t="inlineStr">
        <is>
          <t>Delhi</t>
        </is>
      </c>
      <c r="E309" s="5" t="inlineStr">
        <is>
          <t>P301</t>
        </is>
      </c>
      <c r="F309" s="5" t="inlineStr">
        <is>
          <t>Audio</t>
        </is>
      </c>
      <c r="G309" s="5" t="n">
        <v>1</v>
      </c>
      <c r="H309" s="51" t="n">
        <v>2999</v>
      </c>
      <c r="I309" s="62" t="n">
        <v>0</v>
      </c>
      <c r="J309" s="5" t="inlineStr">
        <is>
          <t>Corporate</t>
        </is>
      </c>
      <c r="K309" s="5" t="inlineStr">
        <is>
          <t>No</t>
        </is>
      </c>
      <c r="L309" s="51">
        <f>G309*H309*(1-I309)</f>
        <v/>
      </c>
      <c r="M309" s="51">
        <f>G309*INDEX(Lookups!$E$3:$E$12,MATCH(E309,Lookups!$A$3:$A$12,0))</f>
        <v/>
      </c>
      <c r="N309" s="51">
        <f>L309-M309</f>
        <v/>
      </c>
      <c r="O309" s="2" t="n"/>
      <c r="P309" s="2" t="n"/>
    </row>
    <row r="310">
      <c r="A310" s="5" t="inlineStr">
        <is>
          <t>ORD-0146</t>
        </is>
      </c>
      <c r="B310" s="50" t="n">
        <v>46259</v>
      </c>
      <c r="C310" s="5" t="inlineStr">
        <is>
          <t>S05</t>
        </is>
      </c>
      <c r="D310" s="5" t="inlineStr">
        <is>
          <t>Chennai</t>
        </is>
      </c>
      <c r="E310" s="5" t="inlineStr">
        <is>
          <t>P301</t>
        </is>
      </c>
      <c r="F310" s="5" t="inlineStr">
        <is>
          <t>Audio</t>
        </is>
      </c>
      <c r="G310" s="5" t="n">
        <v>1</v>
      </c>
      <c r="H310" s="51" t="n">
        <v>2999</v>
      </c>
      <c r="I310" s="62" t="n">
        <v>0</v>
      </c>
      <c r="J310" s="5" t="inlineStr">
        <is>
          <t>Corporate</t>
        </is>
      </c>
      <c r="K310" s="5" t="inlineStr">
        <is>
          <t>Yes</t>
        </is>
      </c>
      <c r="L310" s="51">
        <f>G310*H310*(1-I310)</f>
        <v/>
      </c>
      <c r="M310" s="51">
        <f>G310*INDEX(Lookups!$E$3:$E$12,MATCH(E310,Lookups!$A$3:$A$12,0))</f>
        <v/>
      </c>
      <c r="N310" s="51">
        <f>L310-M310</f>
        <v/>
      </c>
      <c r="O310" s="2" t="n"/>
      <c r="P310" s="2" t="n"/>
    </row>
    <row r="311">
      <c r="A311" s="5" t="inlineStr">
        <is>
          <t>ORD-0173</t>
        </is>
      </c>
      <c r="B311" s="50" t="n">
        <v>46259</v>
      </c>
      <c r="C311" s="5" t="inlineStr">
        <is>
          <t>S01</t>
        </is>
      </c>
      <c r="D311" s="5" t="inlineStr">
        <is>
          <t>Mumbai</t>
        </is>
      </c>
      <c r="E311" s="5" t="inlineStr">
        <is>
          <t>P401</t>
        </is>
      </c>
      <c r="F311" s="5" t="inlineStr">
        <is>
          <t>Accessories</t>
        </is>
      </c>
      <c r="G311" s="5" t="n">
        <v>2</v>
      </c>
      <c r="H311" s="51" t="n">
        <v>1799</v>
      </c>
      <c r="I311" s="62" t="n">
        <v>0.05</v>
      </c>
      <c r="J311" s="5" t="inlineStr">
        <is>
          <t>Corporate</t>
        </is>
      </c>
      <c r="K311" s="5" t="inlineStr">
        <is>
          <t>Yes</t>
        </is>
      </c>
      <c r="L311" s="51">
        <f>G311*H311*(1-I311)</f>
        <v/>
      </c>
      <c r="M311" s="51">
        <f>G311*INDEX(Lookups!$E$3:$E$12,MATCH(E311,Lookups!$A$3:$A$12,0))</f>
        <v/>
      </c>
      <c r="N311" s="51">
        <f>L311-M311</f>
        <v/>
      </c>
      <c r="O311" s="2" t="n"/>
      <c r="P311" s="2" t="n"/>
    </row>
    <row r="312">
      <c r="A312" s="5" t="inlineStr">
        <is>
          <t>ORD-0193</t>
        </is>
      </c>
      <c r="B312" s="50" t="n">
        <v>46259</v>
      </c>
      <c r="C312" s="5" t="inlineStr">
        <is>
          <t>S01</t>
        </is>
      </c>
      <c r="D312" s="5" t="inlineStr">
        <is>
          <t>Mumbai</t>
        </is>
      </c>
      <c r="E312" s="5" t="inlineStr">
        <is>
          <t>P101</t>
        </is>
      </c>
      <c r="F312" s="5" t="inlineStr">
        <is>
          <t>Mobiles</t>
        </is>
      </c>
      <c r="G312" s="5" t="n">
        <v>1</v>
      </c>
      <c r="H312" s="51" t="n">
        <v>18999</v>
      </c>
      <c r="I312" s="62" t="n">
        <v>0.05</v>
      </c>
      <c r="J312" s="5" t="inlineStr">
        <is>
          <t>Walk-in</t>
        </is>
      </c>
      <c r="K312" s="5" t="inlineStr">
        <is>
          <t>Yes</t>
        </is>
      </c>
      <c r="L312" s="51">
        <f>G312*H312*(1-I312)</f>
        <v/>
      </c>
      <c r="M312" s="51">
        <f>G312*INDEX(Lookups!$E$3:$E$12,MATCH(E312,Lookups!$A$3:$A$12,0))</f>
        <v/>
      </c>
      <c r="N312" s="51">
        <f>L312-M312</f>
        <v/>
      </c>
      <c r="O312" s="2" t="n"/>
      <c r="P312" s="2" t="n"/>
    </row>
    <row r="313">
      <c r="A313" s="5" t="inlineStr">
        <is>
          <t>ORD-0362</t>
        </is>
      </c>
      <c r="B313" s="50" t="n">
        <v>46259</v>
      </c>
      <c r="C313" s="5" t="inlineStr">
        <is>
          <t>S05</t>
        </is>
      </c>
      <c r="D313" s="5" t="inlineStr">
        <is>
          <t>Chennai</t>
        </is>
      </c>
      <c r="E313" s="5" t="inlineStr">
        <is>
          <t>P401</t>
        </is>
      </c>
      <c r="F313" s="5" t="inlineStr">
        <is>
          <t>Accessories</t>
        </is>
      </c>
      <c r="G313" s="5" t="n">
        <v>2</v>
      </c>
      <c r="H313" s="51" t="n">
        <v>1799</v>
      </c>
      <c r="I313" s="62" t="n">
        <v>0</v>
      </c>
      <c r="J313" s="5" t="inlineStr">
        <is>
          <t>Online</t>
        </is>
      </c>
      <c r="K313" s="5" t="inlineStr">
        <is>
          <t>No</t>
        </is>
      </c>
      <c r="L313" s="51">
        <f>G313*H313*(1-I313)</f>
        <v/>
      </c>
      <c r="M313" s="51">
        <f>G313*INDEX(Lookups!$E$3:$E$12,MATCH(E313,Lookups!$A$3:$A$12,0))</f>
        <v/>
      </c>
      <c r="N313" s="51">
        <f>L313-M313</f>
        <v/>
      </c>
      <c r="O313" s="2" t="n"/>
      <c r="P313" s="2" t="n"/>
    </row>
    <row r="314">
      <c r="A314" s="5" t="inlineStr">
        <is>
          <t>ORD-0369</t>
        </is>
      </c>
      <c r="B314" s="50" t="n">
        <v>46259</v>
      </c>
      <c r="C314" s="5" t="inlineStr">
        <is>
          <t>S04</t>
        </is>
      </c>
      <c r="D314" s="5" t="inlineStr">
        <is>
          <t>Bengaluru</t>
        </is>
      </c>
      <c r="E314" s="5" t="inlineStr">
        <is>
          <t>P101</t>
        </is>
      </c>
      <c r="F314" s="5" t="inlineStr">
        <is>
          <t>Mobiles</t>
        </is>
      </c>
      <c r="G314" s="5" t="n">
        <v>4</v>
      </c>
      <c r="H314" s="51" t="n">
        <v>18999</v>
      </c>
      <c r="I314" s="62" t="n">
        <v>0.1</v>
      </c>
      <c r="J314" s="5" t="inlineStr">
        <is>
          <t>Walk-in</t>
        </is>
      </c>
      <c r="K314" s="5" t="inlineStr">
        <is>
          <t>No</t>
        </is>
      </c>
      <c r="L314" s="51">
        <f>G314*H314*(1-I314)</f>
        <v/>
      </c>
      <c r="M314" s="51">
        <f>G314*INDEX(Lookups!$E$3:$E$12,MATCH(E314,Lookups!$A$3:$A$12,0))</f>
        <v/>
      </c>
      <c r="N314" s="51">
        <f>L314-M314</f>
        <v/>
      </c>
      <c r="O314" s="2" t="n"/>
      <c r="P314" s="2" t="n"/>
    </row>
    <row r="315">
      <c r="A315" s="5" t="inlineStr">
        <is>
          <t>ORD-0058</t>
        </is>
      </c>
      <c r="B315" s="50" t="n">
        <v>46260</v>
      </c>
      <c r="C315" s="5" t="inlineStr">
        <is>
          <t>S02</t>
        </is>
      </c>
      <c r="D315" s="5" t="inlineStr">
        <is>
          <t>Pune</t>
        </is>
      </c>
      <c r="E315" s="5" t="inlineStr">
        <is>
          <t>P401</t>
        </is>
      </c>
      <c r="F315" s="5" t="inlineStr">
        <is>
          <t>Accessories</t>
        </is>
      </c>
      <c r="G315" s="5" t="n">
        <v>2</v>
      </c>
      <c r="H315" s="51" t="n">
        <v>1799</v>
      </c>
      <c r="I315" s="62" t="n">
        <v>0</v>
      </c>
      <c r="J315" s="5" t="inlineStr">
        <is>
          <t>Corporate</t>
        </is>
      </c>
      <c r="K315" s="5" t="inlineStr">
        <is>
          <t>Yes</t>
        </is>
      </c>
      <c r="L315" s="51">
        <f>G315*H315*(1-I315)</f>
        <v/>
      </c>
      <c r="M315" s="51">
        <f>G315*INDEX(Lookups!$E$3:$E$12,MATCH(E315,Lookups!$A$3:$A$12,0))</f>
        <v/>
      </c>
      <c r="N315" s="51">
        <f>L315-M315</f>
        <v/>
      </c>
      <c r="O315" s="2" t="n"/>
      <c r="P315" s="2" t="n"/>
    </row>
    <row r="316">
      <c r="A316" s="5" t="inlineStr">
        <is>
          <t>ORD-0136</t>
        </is>
      </c>
      <c r="B316" s="50" t="n">
        <v>46260</v>
      </c>
      <c r="C316" s="5" t="inlineStr">
        <is>
          <t>S06</t>
        </is>
      </c>
      <c r="D316" s="5" t="inlineStr">
        <is>
          <t>Gurugram</t>
        </is>
      </c>
      <c r="E316" s="5" t="inlineStr">
        <is>
          <t>P402</t>
        </is>
      </c>
      <c r="F316" s="5" t="inlineStr">
        <is>
          <t>Accessories</t>
        </is>
      </c>
      <c r="G316" s="5" t="n">
        <v>1</v>
      </c>
      <c r="H316" s="51" t="n">
        <v>1499</v>
      </c>
      <c r="I316" s="62" t="n">
        <v>0.1</v>
      </c>
      <c r="J316" s="5" t="inlineStr">
        <is>
          <t>Corporate</t>
        </is>
      </c>
      <c r="K316" s="5" t="inlineStr">
        <is>
          <t>No</t>
        </is>
      </c>
      <c r="L316" s="51">
        <f>G316*H316*(1-I316)</f>
        <v/>
      </c>
      <c r="M316" s="51">
        <f>G316*INDEX(Lookups!$E$3:$E$12,MATCH(E316,Lookups!$A$3:$A$12,0))</f>
        <v/>
      </c>
      <c r="N316" s="51">
        <f>L316-M316</f>
        <v/>
      </c>
      <c r="O316" s="2" t="n"/>
      <c r="P316" s="2" t="n"/>
    </row>
    <row r="317">
      <c r="A317" s="5" t="inlineStr">
        <is>
          <t>ORD-0244</t>
        </is>
      </c>
      <c r="B317" s="50" t="n">
        <v>46260</v>
      </c>
      <c r="C317" s="5" t="inlineStr">
        <is>
          <t>S06</t>
        </is>
      </c>
      <c r="D317" s="5" t="inlineStr">
        <is>
          <t>Gurugram</t>
        </is>
      </c>
      <c r="E317" s="5" t="inlineStr">
        <is>
          <t>P402</t>
        </is>
      </c>
      <c r="F317" s="5" t="inlineStr">
        <is>
          <t>Accessories</t>
        </is>
      </c>
      <c r="G317" s="5" t="n">
        <v>1</v>
      </c>
      <c r="H317" s="51" t="n">
        <v>1499</v>
      </c>
      <c r="I317" s="62" t="n">
        <v>0.05</v>
      </c>
      <c r="J317" s="5" t="inlineStr">
        <is>
          <t>Corporate</t>
        </is>
      </c>
      <c r="K317" s="5" t="inlineStr">
        <is>
          <t>No</t>
        </is>
      </c>
      <c r="L317" s="51">
        <f>G317*H317*(1-I317)</f>
        <v/>
      </c>
      <c r="M317" s="51">
        <f>G317*INDEX(Lookups!$E$3:$E$12,MATCH(E317,Lookups!$A$3:$A$12,0))</f>
        <v/>
      </c>
      <c r="N317" s="51">
        <f>L317-M317</f>
        <v/>
      </c>
      <c r="O317" s="2" t="n"/>
      <c r="P317" s="2" t="n"/>
    </row>
    <row r="318">
      <c r="A318" s="5" t="inlineStr">
        <is>
          <t>ORD-0089</t>
        </is>
      </c>
      <c r="B318" s="50" t="n">
        <v>46261</v>
      </c>
      <c r="C318" s="5" t="inlineStr">
        <is>
          <t>S05</t>
        </is>
      </c>
      <c r="D318" s="5" t="inlineStr">
        <is>
          <t>Chennai</t>
        </is>
      </c>
      <c r="E318" s="5" t="inlineStr">
        <is>
          <t>P102</t>
        </is>
      </c>
      <c r="F318" s="5" t="inlineStr">
        <is>
          <t>Mobiles</t>
        </is>
      </c>
      <c r="G318" s="5" t="n">
        <v>1</v>
      </c>
      <c r="H318" s="51" t="n">
        <v>32999</v>
      </c>
      <c r="I318" s="62" t="n">
        <v>0</v>
      </c>
      <c r="J318" s="5" t="inlineStr">
        <is>
          <t>Walk-in</t>
        </is>
      </c>
      <c r="K318" s="5" t="inlineStr">
        <is>
          <t>No</t>
        </is>
      </c>
      <c r="L318" s="51">
        <f>G318*H318*(1-I318)</f>
        <v/>
      </c>
      <c r="M318" s="51">
        <f>G318*INDEX(Lookups!$E$3:$E$12,MATCH(E318,Lookups!$A$3:$A$12,0))</f>
        <v/>
      </c>
      <c r="N318" s="51">
        <f>L318-M318</f>
        <v/>
      </c>
      <c r="O318" s="2" t="n"/>
      <c r="P318" s="2" t="n"/>
    </row>
    <row r="319">
      <c r="A319" s="5" t="inlineStr">
        <is>
          <t>ORD-0336</t>
        </is>
      </c>
      <c r="B319" s="50" t="n">
        <v>46261</v>
      </c>
      <c r="C319" s="5" t="inlineStr">
        <is>
          <t>S01</t>
        </is>
      </c>
      <c r="D319" s="5" t="inlineStr">
        <is>
          <t>Mumbai</t>
        </is>
      </c>
      <c r="E319" s="5" t="inlineStr">
        <is>
          <t>P101</t>
        </is>
      </c>
      <c r="F319" s="5" t="inlineStr">
        <is>
          <t>Mobiles</t>
        </is>
      </c>
      <c r="G319" s="5" t="n">
        <v>1</v>
      </c>
      <c r="H319" s="51" t="n">
        <v>18999</v>
      </c>
      <c r="I319" s="62" t="n">
        <v>0.05</v>
      </c>
      <c r="J319" s="5" t="inlineStr">
        <is>
          <t>Walk-in</t>
        </is>
      </c>
      <c r="K319" s="5" t="inlineStr">
        <is>
          <t>No</t>
        </is>
      </c>
      <c r="L319" s="51">
        <f>G319*H319*(1-I319)</f>
        <v/>
      </c>
      <c r="M319" s="51">
        <f>G319*INDEX(Lookups!$E$3:$E$12,MATCH(E319,Lookups!$A$3:$A$12,0))</f>
        <v/>
      </c>
      <c r="N319" s="51">
        <f>L319-M319</f>
        <v/>
      </c>
      <c r="O319" s="2" t="n"/>
      <c r="P319" s="2" t="n"/>
    </row>
    <row r="320">
      <c r="A320" s="5" t="inlineStr">
        <is>
          <t>ORD-0182</t>
        </is>
      </c>
      <c r="B320" s="50" t="n">
        <v>46262</v>
      </c>
      <c r="C320" s="5" t="inlineStr">
        <is>
          <t>S05</t>
        </is>
      </c>
      <c r="D320" s="5" t="inlineStr">
        <is>
          <t>Chennai</t>
        </is>
      </c>
      <c r="E320" s="5" t="inlineStr">
        <is>
          <t>P501</t>
        </is>
      </c>
      <c r="F320" s="5" t="inlineStr">
        <is>
          <t>TV</t>
        </is>
      </c>
      <c r="G320" s="5" t="n">
        <v>1</v>
      </c>
      <c r="H320" s="51" t="n">
        <v>32999</v>
      </c>
      <c r="I320" s="62" t="n">
        <v>0</v>
      </c>
      <c r="J320" s="5" t="inlineStr">
        <is>
          <t>Online</t>
        </is>
      </c>
      <c r="K320" s="5" t="inlineStr">
        <is>
          <t>Yes</t>
        </is>
      </c>
      <c r="L320" s="51">
        <f>G320*H320*(1-I320)</f>
        <v/>
      </c>
      <c r="M320" s="51">
        <f>G320*INDEX(Lookups!$E$3:$E$12,MATCH(E320,Lookups!$A$3:$A$12,0))</f>
        <v/>
      </c>
      <c r="N320" s="51">
        <f>L320-M320</f>
        <v/>
      </c>
      <c r="O320" s="2" t="n"/>
      <c r="P320" s="2" t="n"/>
    </row>
    <row r="321">
      <c r="A321" s="5" t="inlineStr">
        <is>
          <t>ORD-0378</t>
        </is>
      </c>
      <c r="B321" s="50" t="n">
        <v>46262</v>
      </c>
      <c r="C321" s="5" t="inlineStr">
        <is>
          <t>S02</t>
        </is>
      </c>
      <c r="D321" s="5" t="inlineStr">
        <is>
          <t>Pune</t>
        </is>
      </c>
      <c r="E321" s="5" t="inlineStr">
        <is>
          <t>P502</t>
        </is>
      </c>
      <c r="F321" s="5" t="inlineStr">
        <is>
          <t>TV</t>
        </is>
      </c>
      <c r="G321" s="5" t="n">
        <v>1</v>
      </c>
      <c r="H321" s="51" t="n">
        <v>52999</v>
      </c>
      <c r="I321" s="62" t="n">
        <v>0</v>
      </c>
      <c r="J321" s="5" t="inlineStr">
        <is>
          <t>Walk-in</t>
        </is>
      </c>
      <c r="K321" s="5" t="inlineStr">
        <is>
          <t>No</t>
        </is>
      </c>
      <c r="L321" s="51">
        <f>G321*H321*(1-I321)</f>
        <v/>
      </c>
      <c r="M321" s="51">
        <f>G321*INDEX(Lookups!$E$3:$E$12,MATCH(E321,Lookups!$A$3:$A$12,0))</f>
        <v/>
      </c>
      <c r="N321" s="51">
        <f>L321-M321</f>
        <v/>
      </c>
      <c r="O321" s="2" t="n"/>
      <c r="P321" s="2" t="n"/>
    </row>
    <row r="322">
      <c r="A322" s="5" t="inlineStr">
        <is>
          <t>ORD-0249</t>
        </is>
      </c>
      <c r="B322" s="50" t="n">
        <v>46263</v>
      </c>
      <c r="C322" s="5" t="inlineStr">
        <is>
          <t>S04</t>
        </is>
      </c>
      <c r="D322" s="5" t="inlineStr">
        <is>
          <t>Bengaluru</t>
        </is>
      </c>
      <c r="E322" s="5" t="inlineStr">
        <is>
          <t>P101</t>
        </is>
      </c>
      <c r="F322" s="5" t="inlineStr">
        <is>
          <t>Mobiles</t>
        </is>
      </c>
      <c r="G322" s="5" t="n">
        <v>1</v>
      </c>
      <c r="H322" s="51" t="n">
        <v>18999</v>
      </c>
      <c r="I322" s="62" t="n">
        <v>0.1</v>
      </c>
      <c r="J322" s="5" t="inlineStr">
        <is>
          <t>Corporate</t>
        </is>
      </c>
      <c r="K322" s="5" t="inlineStr">
        <is>
          <t>No</t>
        </is>
      </c>
      <c r="L322" s="51">
        <f>G322*H322*(1-I322)</f>
        <v/>
      </c>
      <c r="M322" s="51">
        <f>G322*INDEX(Lookups!$E$3:$E$12,MATCH(E322,Lookups!$A$3:$A$12,0))</f>
        <v/>
      </c>
      <c r="N322" s="51">
        <f>L322-M322</f>
        <v/>
      </c>
      <c r="O322" s="2" t="n"/>
      <c r="P322" s="2" t="n"/>
    </row>
    <row r="323">
      <c r="A323" s="5" t="inlineStr">
        <is>
          <t>ORD-0087</t>
        </is>
      </c>
      <c r="B323" s="50" t="n">
        <v>46264</v>
      </c>
      <c r="C323" s="5" t="inlineStr">
        <is>
          <t>S01</t>
        </is>
      </c>
      <c r="D323" s="5" t="inlineStr">
        <is>
          <t>Mumbai</t>
        </is>
      </c>
      <c r="E323" s="5" t="inlineStr">
        <is>
          <t>P102</t>
        </is>
      </c>
      <c r="F323" s="5" t="inlineStr">
        <is>
          <t>Mobiles</t>
        </is>
      </c>
      <c r="G323" s="5" t="n">
        <v>1</v>
      </c>
      <c r="H323" s="51" t="n">
        <v>32999</v>
      </c>
      <c r="I323" s="62" t="n">
        <v>0</v>
      </c>
      <c r="J323" s="5" t="inlineStr">
        <is>
          <t>Corporate</t>
        </is>
      </c>
      <c r="K323" s="5" t="inlineStr">
        <is>
          <t>No</t>
        </is>
      </c>
      <c r="L323" s="51">
        <f>G323*H323*(1-I323)</f>
        <v/>
      </c>
      <c r="M323" s="51">
        <f>G323*INDEX(Lookups!$E$3:$E$12,MATCH(E323,Lookups!$A$3:$A$12,0))</f>
        <v/>
      </c>
      <c r="N323" s="51">
        <f>L323-M323</f>
        <v/>
      </c>
      <c r="O323" s="2" t="n"/>
      <c r="P323" s="2" t="n"/>
    </row>
    <row r="324">
      <c r="A324" s="5" t="inlineStr">
        <is>
          <t>ORD-0191</t>
        </is>
      </c>
      <c r="B324" s="50" t="n">
        <v>46265</v>
      </c>
      <c r="C324" s="5" t="inlineStr">
        <is>
          <t>S01</t>
        </is>
      </c>
      <c r="D324" s="5" t="inlineStr">
        <is>
          <t>Mumbai</t>
        </is>
      </c>
      <c r="E324" s="5" t="inlineStr">
        <is>
          <t>P202</t>
        </is>
      </c>
      <c r="F324" s="5" t="inlineStr">
        <is>
          <t>Laptops</t>
        </is>
      </c>
      <c r="G324" s="5" t="n">
        <v>1</v>
      </c>
      <c r="H324" s="51" t="n">
        <v>94999</v>
      </c>
      <c r="I324" s="62" t="n">
        <v>0.1</v>
      </c>
      <c r="J324" s="5" t="inlineStr">
        <is>
          <t>Online</t>
        </is>
      </c>
      <c r="K324" s="5" t="inlineStr">
        <is>
          <t>No</t>
        </is>
      </c>
      <c r="L324" s="51">
        <f>G324*H324*(1-I324)</f>
        <v/>
      </c>
      <c r="M324" s="51">
        <f>G324*INDEX(Lookups!$E$3:$E$12,MATCH(E324,Lookups!$A$3:$A$12,0))</f>
        <v/>
      </c>
      <c r="N324" s="51">
        <f>L324-M324</f>
        <v/>
      </c>
      <c r="O324" s="2" t="n"/>
      <c r="P324" s="2" t="n"/>
    </row>
    <row r="325">
      <c r="A325" s="5" t="inlineStr">
        <is>
          <t>ORD-0267</t>
        </is>
      </c>
      <c r="B325" s="50" t="n">
        <v>46265</v>
      </c>
      <c r="C325" s="5" t="inlineStr">
        <is>
          <t>S03</t>
        </is>
      </c>
      <c r="D325" s="5" t="inlineStr">
        <is>
          <t>Delhi</t>
        </is>
      </c>
      <c r="E325" s="5" t="inlineStr">
        <is>
          <t>P301</t>
        </is>
      </c>
      <c r="F325" s="5" t="inlineStr">
        <is>
          <t>Audio</t>
        </is>
      </c>
      <c r="G325" s="5" t="n">
        <v>4</v>
      </c>
      <c r="H325" s="51" t="n">
        <v>2999</v>
      </c>
      <c r="I325" s="62" t="n">
        <v>0</v>
      </c>
      <c r="J325" s="5" t="inlineStr">
        <is>
          <t>Walk-in</t>
        </is>
      </c>
      <c r="K325" s="5" t="inlineStr">
        <is>
          <t>No</t>
        </is>
      </c>
      <c r="L325" s="51">
        <f>G325*H325*(1-I325)</f>
        <v/>
      </c>
      <c r="M325" s="51">
        <f>G325*INDEX(Lookups!$E$3:$E$12,MATCH(E325,Lookups!$A$3:$A$12,0))</f>
        <v/>
      </c>
      <c r="N325" s="51">
        <f>L325-M325</f>
        <v/>
      </c>
      <c r="O325" s="2" t="n"/>
      <c r="P325" s="2" t="n"/>
    </row>
    <row r="326">
      <c r="A326" s="5" t="inlineStr">
        <is>
          <t>ORD-0346</t>
        </is>
      </c>
      <c r="B326" s="50" t="n">
        <v>46265</v>
      </c>
      <c r="C326" s="5" t="inlineStr">
        <is>
          <t>S06</t>
        </is>
      </c>
      <c r="D326" s="5" t="inlineStr">
        <is>
          <t>Gurugram</t>
        </is>
      </c>
      <c r="E326" s="5" t="inlineStr">
        <is>
          <t>P402</t>
        </is>
      </c>
      <c r="F326" s="5" t="inlineStr">
        <is>
          <t>Accessories</t>
        </is>
      </c>
      <c r="G326" s="5" t="n">
        <v>1</v>
      </c>
      <c r="H326" s="51" t="n">
        <v>1499</v>
      </c>
      <c r="I326" s="62" t="n">
        <v>0</v>
      </c>
      <c r="J326" s="5" t="inlineStr">
        <is>
          <t>Corporate</t>
        </is>
      </c>
      <c r="K326" s="5" t="inlineStr">
        <is>
          <t>Yes</t>
        </is>
      </c>
      <c r="L326" s="51">
        <f>G326*H326*(1-I326)</f>
        <v/>
      </c>
      <c r="M326" s="51">
        <f>G326*INDEX(Lookups!$E$3:$E$12,MATCH(E326,Lookups!$A$3:$A$12,0))</f>
        <v/>
      </c>
      <c r="N326" s="51">
        <f>L326-M326</f>
        <v/>
      </c>
      <c r="O326" s="2" t="n"/>
      <c r="P326" s="2" t="n"/>
    </row>
    <row r="327">
      <c r="A327" s="5" t="inlineStr">
        <is>
          <t>ORD-0080</t>
        </is>
      </c>
      <c r="B327" s="50" t="n">
        <v>46266</v>
      </c>
      <c r="C327" s="5" t="inlineStr">
        <is>
          <t>S04</t>
        </is>
      </c>
      <c r="D327" s="5" t="inlineStr">
        <is>
          <t>Bengaluru</t>
        </is>
      </c>
      <c r="E327" s="5" t="inlineStr">
        <is>
          <t>P301</t>
        </is>
      </c>
      <c r="F327" s="5" t="inlineStr">
        <is>
          <t>Audio</t>
        </is>
      </c>
      <c r="G327" s="5" t="n">
        <v>1</v>
      </c>
      <c r="H327" s="51" t="n">
        <v>2999</v>
      </c>
      <c r="I327" s="62" t="n">
        <v>0.05</v>
      </c>
      <c r="J327" s="5" t="inlineStr">
        <is>
          <t>Corporate</t>
        </is>
      </c>
      <c r="K327" s="5" t="inlineStr">
        <is>
          <t>No</t>
        </is>
      </c>
      <c r="L327" s="51">
        <f>G327*H327*(1-I327)</f>
        <v/>
      </c>
      <c r="M327" s="51">
        <f>G327*INDEX(Lookups!$E$3:$E$12,MATCH(E327,Lookups!$A$3:$A$12,0))</f>
        <v/>
      </c>
      <c r="N327" s="51">
        <f>L327-M327</f>
        <v/>
      </c>
      <c r="O327" s="2" t="n"/>
      <c r="P327" s="2" t="n"/>
    </row>
    <row r="328">
      <c r="A328" s="5" t="inlineStr">
        <is>
          <t>ORD-0228</t>
        </is>
      </c>
      <c r="B328" s="50" t="n">
        <v>46267</v>
      </c>
      <c r="C328" s="5" t="inlineStr">
        <is>
          <t>S02</t>
        </is>
      </c>
      <c r="D328" s="5" t="inlineStr">
        <is>
          <t>Pune</t>
        </is>
      </c>
      <c r="E328" s="5" t="inlineStr">
        <is>
          <t>P201</t>
        </is>
      </c>
      <c r="F328" s="5" t="inlineStr">
        <is>
          <t>Laptops</t>
        </is>
      </c>
      <c r="G328" s="5" t="n">
        <v>1</v>
      </c>
      <c r="H328" s="51" t="n">
        <v>54999</v>
      </c>
      <c r="I328" s="62" t="n">
        <v>0</v>
      </c>
      <c r="J328" s="5" t="inlineStr">
        <is>
          <t>Corporate</t>
        </is>
      </c>
      <c r="K328" s="5" t="inlineStr">
        <is>
          <t>No</t>
        </is>
      </c>
      <c r="L328" s="51">
        <f>G328*H328*(1-I328)</f>
        <v/>
      </c>
      <c r="M328" s="51">
        <f>G328*INDEX(Lookups!$E$3:$E$12,MATCH(E328,Lookups!$A$3:$A$12,0))</f>
        <v/>
      </c>
      <c r="N328" s="51">
        <f>L328-M328</f>
        <v/>
      </c>
      <c r="O328" s="2" t="n"/>
      <c r="P328" s="2" t="n"/>
    </row>
    <row r="329">
      <c r="A329" s="5" t="inlineStr">
        <is>
          <t>ORD-0389</t>
        </is>
      </c>
      <c r="B329" s="50" t="n">
        <v>46267</v>
      </c>
      <c r="C329" s="5" t="inlineStr">
        <is>
          <t>S01</t>
        </is>
      </c>
      <c r="D329" s="5" t="inlineStr">
        <is>
          <t>Mumbai</t>
        </is>
      </c>
      <c r="E329" s="5" t="inlineStr">
        <is>
          <t>P302</t>
        </is>
      </c>
      <c r="F329" s="5" t="inlineStr">
        <is>
          <t>Audio</t>
        </is>
      </c>
      <c r="G329" s="5" t="n">
        <v>3</v>
      </c>
      <c r="H329" s="51" t="n">
        <v>4499</v>
      </c>
      <c r="I329" s="62" t="n">
        <v>0</v>
      </c>
      <c r="J329" s="5" t="inlineStr">
        <is>
          <t>Walk-in</t>
        </is>
      </c>
      <c r="K329" s="5" t="inlineStr">
        <is>
          <t>No</t>
        </is>
      </c>
      <c r="L329" s="51">
        <f>G329*H329*(1-I329)</f>
        <v/>
      </c>
      <c r="M329" s="51">
        <f>G329*INDEX(Lookups!$E$3:$E$12,MATCH(E329,Lookups!$A$3:$A$12,0))</f>
        <v/>
      </c>
      <c r="N329" s="51">
        <f>L329-M329</f>
        <v/>
      </c>
      <c r="O329" s="2" t="n"/>
      <c r="P329" s="2" t="n"/>
    </row>
    <row r="330">
      <c r="A330" s="5" t="inlineStr">
        <is>
          <t>ORD-0380</t>
        </is>
      </c>
      <c r="B330" s="50" t="n">
        <v>46268</v>
      </c>
      <c r="C330" s="5" t="inlineStr">
        <is>
          <t>S05</t>
        </is>
      </c>
      <c r="D330" s="5" t="inlineStr">
        <is>
          <t>Chennai</t>
        </is>
      </c>
      <c r="E330" s="5" t="inlineStr">
        <is>
          <t>P101</t>
        </is>
      </c>
      <c r="F330" s="5" t="inlineStr">
        <is>
          <t>Mobiles</t>
        </is>
      </c>
      <c r="G330" s="5" t="n">
        <v>1</v>
      </c>
      <c r="H330" s="51" t="n">
        <v>18999</v>
      </c>
      <c r="I330" s="62" t="n">
        <v>0</v>
      </c>
      <c r="J330" s="5" t="inlineStr">
        <is>
          <t>Online</t>
        </is>
      </c>
      <c r="K330" s="5" t="inlineStr">
        <is>
          <t>Yes</t>
        </is>
      </c>
      <c r="L330" s="51">
        <f>G330*H330*(1-I330)</f>
        <v/>
      </c>
      <c r="M330" s="51">
        <f>G330*INDEX(Lookups!$E$3:$E$12,MATCH(E330,Lookups!$A$3:$A$12,0))</f>
        <v/>
      </c>
      <c r="N330" s="51">
        <f>L330-M330</f>
        <v/>
      </c>
      <c r="O330" s="2" t="n"/>
      <c r="P330" s="2" t="n"/>
    </row>
    <row r="331">
      <c r="A331" s="5" t="inlineStr">
        <is>
          <t>ORD-0082</t>
        </is>
      </c>
      <c r="B331" s="50" t="n">
        <v>46270</v>
      </c>
      <c r="C331" s="5" t="inlineStr">
        <is>
          <t>S02</t>
        </is>
      </c>
      <c r="D331" s="5" t="inlineStr">
        <is>
          <t>Pune</t>
        </is>
      </c>
      <c r="E331" s="5" t="inlineStr">
        <is>
          <t>P402</t>
        </is>
      </c>
      <c r="F331" s="5" t="inlineStr">
        <is>
          <t>Accessories</t>
        </is>
      </c>
      <c r="G331" s="5" t="n">
        <v>1</v>
      </c>
      <c r="H331" s="51" t="n">
        <v>1499</v>
      </c>
      <c r="I331" s="62" t="n">
        <v>0</v>
      </c>
      <c r="J331" s="5" t="inlineStr">
        <is>
          <t>Corporate</t>
        </is>
      </c>
      <c r="K331" s="5" t="inlineStr">
        <is>
          <t>No</t>
        </is>
      </c>
      <c r="L331" s="51">
        <f>G331*H331*(1-I331)</f>
        <v/>
      </c>
      <c r="M331" s="51">
        <f>G331*INDEX(Lookups!$E$3:$E$12,MATCH(E331,Lookups!$A$3:$A$12,0))</f>
        <v/>
      </c>
      <c r="N331" s="51">
        <f>L331-M331</f>
        <v/>
      </c>
      <c r="O331" s="2" t="n"/>
      <c r="P331" s="2" t="n"/>
    </row>
    <row r="332">
      <c r="A332" s="5" t="inlineStr">
        <is>
          <t>ORD-0223</t>
        </is>
      </c>
      <c r="B332" s="50" t="n">
        <v>46270</v>
      </c>
      <c r="C332" s="5" t="inlineStr">
        <is>
          <t>S02</t>
        </is>
      </c>
      <c r="D332" s="5" t="inlineStr">
        <is>
          <t>Pune</t>
        </is>
      </c>
      <c r="E332" s="5" t="inlineStr">
        <is>
          <t>P401</t>
        </is>
      </c>
      <c r="F332" s="5" t="inlineStr">
        <is>
          <t>Accessories</t>
        </is>
      </c>
      <c r="G332" s="5" t="n">
        <v>3</v>
      </c>
      <c r="H332" s="51" t="n">
        <v>1799</v>
      </c>
      <c r="I332" s="62" t="n">
        <v>0</v>
      </c>
      <c r="J332" s="5" t="inlineStr">
        <is>
          <t>Online</t>
        </is>
      </c>
      <c r="K332" s="5" t="inlineStr">
        <is>
          <t>No</t>
        </is>
      </c>
      <c r="L332" s="51">
        <f>G332*H332*(1-I332)</f>
        <v/>
      </c>
      <c r="M332" s="51">
        <f>G332*INDEX(Lookups!$E$3:$E$12,MATCH(E332,Lookups!$A$3:$A$12,0))</f>
        <v/>
      </c>
      <c r="N332" s="51">
        <f>L332-M332</f>
        <v/>
      </c>
      <c r="O332" s="2" t="n"/>
      <c r="P332" s="2" t="n"/>
    </row>
    <row r="333">
      <c r="A333" s="5" t="inlineStr">
        <is>
          <t>ORD-0322</t>
        </is>
      </c>
      <c r="B333" s="50" t="n">
        <v>46270</v>
      </c>
      <c r="C333" s="5" t="inlineStr">
        <is>
          <t>S03</t>
        </is>
      </c>
      <c r="D333" s="5" t="inlineStr">
        <is>
          <t>Delhi</t>
        </is>
      </c>
      <c r="E333" s="5" t="inlineStr">
        <is>
          <t>P402</t>
        </is>
      </c>
      <c r="F333" s="5" t="inlineStr">
        <is>
          <t>Accessories</t>
        </is>
      </c>
      <c r="G333" s="5" t="n">
        <v>4</v>
      </c>
      <c r="H333" s="51" t="n">
        <v>1499</v>
      </c>
      <c r="I333" s="62" t="n">
        <v>0</v>
      </c>
      <c r="J333" s="5" t="inlineStr">
        <is>
          <t>Corporate</t>
        </is>
      </c>
      <c r="K333" s="5" t="inlineStr">
        <is>
          <t>No</t>
        </is>
      </c>
      <c r="L333" s="51">
        <f>G333*H333*(1-I333)</f>
        <v/>
      </c>
      <c r="M333" s="51">
        <f>G333*INDEX(Lookups!$E$3:$E$12,MATCH(E333,Lookups!$A$3:$A$12,0))</f>
        <v/>
      </c>
      <c r="N333" s="51">
        <f>L333-M333</f>
        <v/>
      </c>
      <c r="O333" s="2" t="n"/>
      <c r="P333" s="2" t="n"/>
    </row>
    <row r="334">
      <c r="A334" s="5" t="inlineStr">
        <is>
          <t>ORD-0361</t>
        </is>
      </c>
      <c r="B334" s="50" t="n">
        <v>46270</v>
      </c>
      <c r="C334" s="5" t="inlineStr">
        <is>
          <t>S03</t>
        </is>
      </c>
      <c r="D334" s="5" t="inlineStr">
        <is>
          <t>Delhi</t>
        </is>
      </c>
      <c r="E334" s="5" t="inlineStr">
        <is>
          <t>P502</t>
        </is>
      </c>
      <c r="F334" s="5" t="inlineStr">
        <is>
          <t>TV</t>
        </is>
      </c>
      <c r="G334" s="5" t="n">
        <v>1</v>
      </c>
      <c r="H334" s="51" t="n">
        <v>52999</v>
      </c>
      <c r="I334" s="62" t="n">
        <v>0.1</v>
      </c>
      <c r="J334" s="5" t="inlineStr">
        <is>
          <t>Walk-in</t>
        </is>
      </c>
      <c r="K334" s="5" t="inlineStr">
        <is>
          <t>Yes</t>
        </is>
      </c>
      <c r="L334" s="51">
        <f>G334*H334*(1-I334)</f>
        <v/>
      </c>
      <c r="M334" s="51">
        <f>G334*INDEX(Lookups!$E$3:$E$12,MATCH(E334,Lookups!$A$3:$A$12,0))</f>
        <v/>
      </c>
      <c r="N334" s="51">
        <f>L334-M334</f>
        <v/>
      </c>
      <c r="O334" s="2" t="n"/>
      <c r="P334" s="2" t="n"/>
    </row>
    <row r="335">
      <c r="A335" s="5" t="inlineStr">
        <is>
          <t>ORD-0384</t>
        </is>
      </c>
      <c r="B335" s="50" t="n">
        <v>46270</v>
      </c>
      <c r="C335" s="5" t="inlineStr">
        <is>
          <t>S06</t>
        </is>
      </c>
      <c r="D335" s="5" t="inlineStr">
        <is>
          <t>Gurugram</t>
        </is>
      </c>
      <c r="E335" s="5" t="inlineStr">
        <is>
          <t>P402</t>
        </is>
      </c>
      <c r="F335" s="5" t="inlineStr">
        <is>
          <t>Accessories</t>
        </is>
      </c>
      <c r="G335" s="5" t="n">
        <v>2</v>
      </c>
      <c r="H335" s="51" t="n">
        <v>1499</v>
      </c>
      <c r="I335" s="62" t="n">
        <v>0</v>
      </c>
      <c r="J335" s="5" t="inlineStr">
        <is>
          <t>Online</t>
        </is>
      </c>
      <c r="K335" s="5" t="inlineStr">
        <is>
          <t>No</t>
        </is>
      </c>
      <c r="L335" s="51">
        <f>G335*H335*(1-I335)</f>
        <v/>
      </c>
      <c r="M335" s="51">
        <f>G335*INDEX(Lookups!$E$3:$E$12,MATCH(E335,Lookups!$A$3:$A$12,0))</f>
        <v/>
      </c>
      <c r="N335" s="51">
        <f>L335-M335</f>
        <v/>
      </c>
      <c r="O335" s="2" t="n"/>
      <c r="P335" s="2" t="n"/>
    </row>
    <row r="336">
      <c r="A336" s="5" t="inlineStr">
        <is>
          <t>ORD-0169</t>
        </is>
      </c>
      <c r="B336" s="50" t="n">
        <v>46271</v>
      </c>
      <c r="C336" s="5" t="inlineStr">
        <is>
          <t>S01</t>
        </is>
      </c>
      <c r="D336" s="5" t="inlineStr">
        <is>
          <t>Mumbai</t>
        </is>
      </c>
      <c r="E336" s="5" t="inlineStr">
        <is>
          <t>P402</t>
        </is>
      </c>
      <c r="F336" s="5" t="inlineStr">
        <is>
          <t>Accessories</t>
        </is>
      </c>
      <c r="G336" s="5" t="n">
        <v>1</v>
      </c>
      <c r="H336" s="51" t="n">
        <v>1499</v>
      </c>
      <c r="I336" s="62" t="n">
        <v>0.1</v>
      </c>
      <c r="J336" s="5" t="inlineStr">
        <is>
          <t>Walk-in</t>
        </is>
      </c>
      <c r="K336" s="5" t="inlineStr">
        <is>
          <t>No</t>
        </is>
      </c>
      <c r="L336" s="51">
        <f>G336*H336*(1-I336)</f>
        <v/>
      </c>
      <c r="M336" s="51">
        <f>G336*INDEX(Lookups!$E$3:$E$12,MATCH(E336,Lookups!$A$3:$A$12,0))</f>
        <v/>
      </c>
      <c r="N336" s="51">
        <f>L336-M336</f>
        <v/>
      </c>
      <c r="O336" s="2" t="n"/>
      <c r="P336" s="2" t="n"/>
    </row>
    <row r="337">
      <c r="A337" s="5" t="inlineStr">
        <is>
          <t>ORD-0177</t>
        </is>
      </c>
      <c r="B337" s="50" t="n">
        <v>46271</v>
      </c>
      <c r="C337" s="5" t="inlineStr">
        <is>
          <t>S03</t>
        </is>
      </c>
      <c r="D337" s="5" t="inlineStr">
        <is>
          <t>Delhi</t>
        </is>
      </c>
      <c r="E337" s="5" t="inlineStr">
        <is>
          <t>P402</t>
        </is>
      </c>
      <c r="F337" s="5" t="inlineStr">
        <is>
          <t>Accessories</t>
        </is>
      </c>
      <c r="G337" s="5" t="n">
        <v>2</v>
      </c>
      <c r="H337" s="51" t="n">
        <v>1499</v>
      </c>
      <c r="I337" s="62" t="n">
        <v>0</v>
      </c>
      <c r="J337" s="5" t="inlineStr">
        <is>
          <t>Walk-in</t>
        </is>
      </c>
      <c r="K337" s="5" t="inlineStr">
        <is>
          <t>Yes</t>
        </is>
      </c>
      <c r="L337" s="51">
        <f>G337*H337*(1-I337)</f>
        <v/>
      </c>
      <c r="M337" s="51">
        <f>G337*INDEX(Lookups!$E$3:$E$12,MATCH(E337,Lookups!$A$3:$A$12,0))</f>
        <v/>
      </c>
      <c r="N337" s="51">
        <f>L337-M337</f>
        <v/>
      </c>
      <c r="O337" s="2" t="n"/>
      <c r="P337" s="2" t="n"/>
    </row>
    <row r="338">
      <c r="A338" s="5" t="inlineStr">
        <is>
          <t>ORD-0102</t>
        </is>
      </c>
      <c r="B338" s="50" t="n">
        <v>46272</v>
      </c>
      <c r="C338" s="5" t="inlineStr">
        <is>
          <t>S05</t>
        </is>
      </c>
      <c r="D338" s="5" t="inlineStr">
        <is>
          <t>Chennai</t>
        </is>
      </c>
      <c r="E338" s="5" t="inlineStr">
        <is>
          <t>P401</t>
        </is>
      </c>
      <c r="F338" s="5" t="inlineStr">
        <is>
          <t>Accessories</t>
        </is>
      </c>
      <c r="G338" s="5" t="n">
        <v>1</v>
      </c>
      <c r="H338" s="51" t="n">
        <v>1799</v>
      </c>
      <c r="I338" s="62" t="n">
        <v>0</v>
      </c>
      <c r="J338" s="5" t="inlineStr">
        <is>
          <t>Online</t>
        </is>
      </c>
      <c r="K338" s="5" t="inlineStr">
        <is>
          <t>No</t>
        </is>
      </c>
      <c r="L338" s="51">
        <f>G338*H338*(1-I338)</f>
        <v/>
      </c>
      <c r="M338" s="51">
        <f>G338*INDEX(Lookups!$E$3:$E$12,MATCH(E338,Lookups!$A$3:$A$12,0))</f>
        <v/>
      </c>
      <c r="N338" s="51">
        <f>L338-M338</f>
        <v/>
      </c>
      <c r="O338" s="2" t="n"/>
      <c r="P338" s="2" t="n"/>
    </row>
    <row r="339">
      <c r="A339" s="5" t="inlineStr">
        <is>
          <t>ORD-0240</t>
        </is>
      </c>
      <c r="B339" s="50" t="n">
        <v>46272</v>
      </c>
      <c r="C339" s="5" t="inlineStr">
        <is>
          <t>S04</t>
        </is>
      </c>
      <c r="D339" s="5" t="inlineStr">
        <is>
          <t>Bengaluru</t>
        </is>
      </c>
      <c r="E339" s="5" t="inlineStr">
        <is>
          <t>P502</t>
        </is>
      </c>
      <c r="F339" s="5" t="inlineStr">
        <is>
          <t>TV</t>
        </is>
      </c>
      <c r="G339" s="5" t="n">
        <v>1</v>
      </c>
      <c r="H339" s="51" t="n">
        <v>52999</v>
      </c>
      <c r="I339" s="62" t="n">
        <v>0</v>
      </c>
      <c r="J339" s="5" t="inlineStr">
        <is>
          <t>Walk-in</t>
        </is>
      </c>
      <c r="K339" s="5" t="inlineStr">
        <is>
          <t>Yes</t>
        </is>
      </c>
      <c r="L339" s="51">
        <f>G339*H339*(1-I339)</f>
        <v/>
      </c>
      <c r="M339" s="51">
        <f>G339*INDEX(Lookups!$E$3:$E$12,MATCH(E339,Lookups!$A$3:$A$12,0))</f>
        <v/>
      </c>
      <c r="N339" s="51">
        <f>L339-M339</f>
        <v/>
      </c>
      <c r="O339" s="2" t="n"/>
      <c r="P339" s="2" t="n"/>
    </row>
    <row r="340">
      <c r="A340" s="5" t="inlineStr">
        <is>
          <t>ORD-0065</t>
        </is>
      </c>
      <c r="B340" s="50" t="n">
        <v>46273</v>
      </c>
      <c r="C340" s="5" t="inlineStr">
        <is>
          <t>S02</t>
        </is>
      </c>
      <c r="D340" s="5" t="inlineStr">
        <is>
          <t>Pune</t>
        </is>
      </c>
      <c r="E340" s="5" t="inlineStr">
        <is>
          <t>P201</t>
        </is>
      </c>
      <c r="F340" s="5" t="inlineStr">
        <is>
          <t>Laptops</t>
        </is>
      </c>
      <c r="G340" s="5" t="n">
        <v>4</v>
      </c>
      <c r="H340" s="51" t="n">
        <v>54999</v>
      </c>
      <c r="I340" s="62" t="n">
        <v>0</v>
      </c>
      <c r="J340" s="5" t="inlineStr">
        <is>
          <t>Online</t>
        </is>
      </c>
      <c r="K340" s="5" t="inlineStr">
        <is>
          <t>No</t>
        </is>
      </c>
      <c r="L340" s="51">
        <f>G340*H340*(1-I340)</f>
        <v/>
      </c>
      <c r="M340" s="51">
        <f>G340*INDEX(Lookups!$E$3:$E$12,MATCH(E340,Lookups!$A$3:$A$12,0))</f>
        <v/>
      </c>
      <c r="N340" s="51">
        <f>L340-M340</f>
        <v/>
      </c>
      <c r="O340" s="2" t="n"/>
      <c r="P340" s="2" t="n"/>
    </row>
    <row r="341">
      <c r="A341" s="5" t="inlineStr">
        <is>
          <t>ORD-0094</t>
        </is>
      </c>
      <c r="B341" s="50" t="n">
        <v>46273</v>
      </c>
      <c r="C341" s="5" t="inlineStr">
        <is>
          <t>S03</t>
        </is>
      </c>
      <c r="D341" s="5" t="inlineStr">
        <is>
          <t>Delhi</t>
        </is>
      </c>
      <c r="E341" s="5" t="inlineStr">
        <is>
          <t>P202</t>
        </is>
      </c>
      <c r="F341" s="5" t="inlineStr">
        <is>
          <t>Laptops</t>
        </is>
      </c>
      <c r="G341" s="5" t="n">
        <v>1</v>
      </c>
      <c r="H341" s="51" t="n">
        <v>94999</v>
      </c>
      <c r="I341" s="62" t="n">
        <v>0</v>
      </c>
      <c r="J341" s="5" t="inlineStr">
        <is>
          <t>Online</t>
        </is>
      </c>
      <c r="K341" s="5" t="inlineStr">
        <is>
          <t>No</t>
        </is>
      </c>
      <c r="L341" s="51">
        <f>G341*H341*(1-I341)</f>
        <v/>
      </c>
      <c r="M341" s="51">
        <f>G341*INDEX(Lookups!$E$3:$E$12,MATCH(E341,Lookups!$A$3:$A$12,0))</f>
        <v/>
      </c>
      <c r="N341" s="51">
        <f>L341-M341</f>
        <v/>
      </c>
      <c r="O341" s="2" t="n"/>
      <c r="P341" s="2" t="n"/>
    </row>
    <row r="342">
      <c r="A342" s="5" t="inlineStr">
        <is>
          <t>ORD-0126</t>
        </is>
      </c>
      <c r="B342" s="50" t="n">
        <v>46273</v>
      </c>
      <c r="C342" s="5" t="inlineStr">
        <is>
          <t>S01</t>
        </is>
      </c>
      <c r="D342" s="5" t="inlineStr">
        <is>
          <t>Mumbai</t>
        </is>
      </c>
      <c r="E342" s="5" t="inlineStr">
        <is>
          <t>P302</t>
        </is>
      </c>
      <c r="F342" s="5" t="inlineStr">
        <is>
          <t>Audio</t>
        </is>
      </c>
      <c r="G342" s="5" t="n">
        <v>1</v>
      </c>
      <c r="H342" s="51" t="n">
        <v>4499</v>
      </c>
      <c r="I342" s="62" t="n">
        <v>0.1</v>
      </c>
      <c r="J342" s="5" t="inlineStr">
        <is>
          <t>Corporate</t>
        </is>
      </c>
      <c r="K342" s="5" t="inlineStr">
        <is>
          <t>Yes</t>
        </is>
      </c>
      <c r="L342" s="51">
        <f>G342*H342*(1-I342)</f>
        <v/>
      </c>
      <c r="M342" s="51">
        <f>G342*INDEX(Lookups!$E$3:$E$12,MATCH(E342,Lookups!$A$3:$A$12,0))</f>
        <v/>
      </c>
      <c r="N342" s="51">
        <f>L342-M342</f>
        <v/>
      </c>
      <c r="O342" s="2" t="n"/>
      <c r="P342" s="2" t="n"/>
    </row>
    <row r="343">
      <c r="A343" s="5" t="inlineStr">
        <is>
          <t>ORD-0159</t>
        </is>
      </c>
      <c r="B343" s="50" t="n">
        <v>46273</v>
      </c>
      <c r="C343" s="5" t="inlineStr">
        <is>
          <t>S03</t>
        </is>
      </c>
      <c r="D343" s="5" t="inlineStr">
        <is>
          <t>Delhi</t>
        </is>
      </c>
      <c r="E343" s="5" t="inlineStr">
        <is>
          <t>P302</t>
        </is>
      </c>
      <c r="F343" s="5" t="inlineStr">
        <is>
          <t>Audio</t>
        </is>
      </c>
      <c r="G343" s="5" t="n">
        <v>1</v>
      </c>
      <c r="H343" s="51" t="n">
        <v>4499</v>
      </c>
      <c r="I343" s="62" t="n">
        <v>0</v>
      </c>
      <c r="J343" s="5" t="inlineStr">
        <is>
          <t>Online</t>
        </is>
      </c>
      <c r="K343" s="5" t="inlineStr">
        <is>
          <t>Yes</t>
        </is>
      </c>
      <c r="L343" s="51">
        <f>G343*H343*(1-I343)</f>
        <v/>
      </c>
      <c r="M343" s="51">
        <f>G343*INDEX(Lookups!$E$3:$E$12,MATCH(E343,Lookups!$A$3:$A$12,0))</f>
        <v/>
      </c>
      <c r="N343" s="51">
        <f>L343-M343</f>
        <v/>
      </c>
      <c r="O343" s="2" t="n"/>
      <c r="P343" s="2" t="n"/>
    </row>
    <row r="344">
      <c r="A344" s="5" t="inlineStr">
        <is>
          <t>ORD-0198</t>
        </is>
      </c>
      <c r="B344" s="50" t="n">
        <v>46273</v>
      </c>
      <c r="C344" s="5" t="inlineStr">
        <is>
          <t>S04</t>
        </is>
      </c>
      <c r="D344" s="5" t="inlineStr">
        <is>
          <t>Bengaluru</t>
        </is>
      </c>
      <c r="E344" s="5" t="inlineStr">
        <is>
          <t>P301</t>
        </is>
      </c>
      <c r="F344" s="5" t="inlineStr">
        <is>
          <t>Audio</t>
        </is>
      </c>
      <c r="G344" s="5" t="n">
        <v>1</v>
      </c>
      <c r="H344" s="51" t="n">
        <v>2999</v>
      </c>
      <c r="I344" s="62" t="n">
        <v>0</v>
      </c>
      <c r="J344" s="5" t="inlineStr">
        <is>
          <t>Walk-in</t>
        </is>
      </c>
      <c r="K344" s="5" t="inlineStr">
        <is>
          <t>No</t>
        </is>
      </c>
      <c r="L344" s="51">
        <f>G344*H344*(1-I344)</f>
        <v/>
      </c>
      <c r="M344" s="51">
        <f>G344*INDEX(Lookups!$E$3:$E$12,MATCH(E344,Lookups!$A$3:$A$12,0))</f>
        <v/>
      </c>
      <c r="N344" s="51">
        <f>L344-M344</f>
        <v/>
      </c>
      <c r="O344" s="2" t="n"/>
      <c r="P344" s="2" t="n"/>
    </row>
    <row r="345">
      <c r="A345" s="5" t="inlineStr">
        <is>
          <t>ORD-0259</t>
        </is>
      </c>
      <c r="B345" s="50" t="n">
        <v>46273</v>
      </c>
      <c r="C345" s="5" t="inlineStr">
        <is>
          <t>S01</t>
        </is>
      </c>
      <c r="D345" s="5" t="inlineStr">
        <is>
          <t>Mumbai</t>
        </is>
      </c>
      <c r="E345" s="5" t="inlineStr">
        <is>
          <t>P402</t>
        </is>
      </c>
      <c r="F345" s="5" t="inlineStr">
        <is>
          <t>Accessories</t>
        </is>
      </c>
      <c r="G345" s="5" t="n">
        <v>2</v>
      </c>
      <c r="H345" s="51" t="n">
        <v>1499</v>
      </c>
      <c r="I345" s="62" t="n">
        <v>0</v>
      </c>
      <c r="J345" s="5" t="inlineStr">
        <is>
          <t>Online</t>
        </is>
      </c>
      <c r="K345" s="5" t="inlineStr">
        <is>
          <t>Yes</t>
        </is>
      </c>
      <c r="L345" s="51">
        <f>G345*H345*(1-I345)</f>
        <v/>
      </c>
      <c r="M345" s="51">
        <f>G345*INDEX(Lookups!$E$3:$E$12,MATCH(E345,Lookups!$A$3:$A$12,0))</f>
        <v/>
      </c>
      <c r="N345" s="51">
        <f>L345-M345</f>
        <v/>
      </c>
      <c r="O345" s="2" t="n"/>
      <c r="P345" s="2" t="n"/>
    </row>
    <row r="346">
      <c r="A346" s="5" t="inlineStr">
        <is>
          <t>ORD-0268</t>
        </is>
      </c>
      <c r="B346" s="50" t="n">
        <v>46273</v>
      </c>
      <c r="C346" s="5" t="inlineStr">
        <is>
          <t>S03</t>
        </is>
      </c>
      <c r="D346" s="5" t="inlineStr">
        <is>
          <t>Delhi</t>
        </is>
      </c>
      <c r="E346" s="5" t="inlineStr">
        <is>
          <t>P402</t>
        </is>
      </c>
      <c r="F346" s="5" t="inlineStr">
        <is>
          <t>Accessories</t>
        </is>
      </c>
      <c r="G346" s="5" t="n">
        <v>1</v>
      </c>
      <c r="H346" s="51" t="n">
        <v>1499</v>
      </c>
      <c r="I346" s="62" t="n">
        <v>0</v>
      </c>
      <c r="J346" s="5" t="inlineStr">
        <is>
          <t>Corporate</t>
        </is>
      </c>
      <c r="K346" s="5" t="inlineStr">
        <is>
          <t>No</t>
        </is>
      </c>
      <c r="L346" s="51">
        <f>G346*H346*(1-I346)</f>
        <v/>
      </c>
      <c r="M346" s="51">
        <f>G346*INDEX(Lookups!$E$3:$E$12,MATCH(E346,Lookups!$A$3:$A$12,0))</f>
        <v/>
      </c>
      <c r="N346" s="51">
        <f>L346-M346</f>
        <v/>
      </c>
      <c r="O346" s="2" t="n"/>
      <c r="P346" s="2" t="n"/>
    </row>
    <row r="347">
      <c r="A347" s="5" t="inlineStr">
        <is>
          <t>ORD-0353</t>
        </is>
      </c>
      <c r="B347" s="50" t="n">
        <v>46273</v>
      </c>
      <c r="C347" s="5" t="inlineStr">
        <is>
          <t>S01</t>
        </is>
      </c>
      <c r="D347" s="5" t="inlineStr">
        <is>
          <t>Mumbai</t>
        </is>
      </c>
      <c r="E347" s="5" t="inlineStr">
        <is>
          <t>P402</t>
        </is>
      </c>
      <c r="F347" s="5" t="inlineStr">
        <is>
          <t>Accessories</t>
        </is>
      </c>
      <c r="G347" s="5" t="n">
        <v>1</v>
      </c>
      <c r="H347" s="51" t="n">
        <v>1499</v>
      </c>
      <c r="I347" s="62" t="n">
        <v>0.1</v>
      </c>
      <c r="J347" s="5" t="inlineStr">
        <is>
          <t>Walk-in</t>
        </is>
      </c>
      <c r="K347" s="5" t="inlineStr">
        <is>
          <t>No</t>
        </is>
      </c>
      <c r="L347" s="51">
        <f>G347*H347*(1-I347)</f>
        <v/>
      </c>
      <c r="M347" s="51">
        <f>G347*INDEX(Lookups!$E$3:$E$12,MATCH(E347,Lookups!$A$3:$A$12,0))</f>
        <v/>
      </c>
      <c r="N347" s="51">
        <f>L347-M347</f>
        <v/>
      </c>
      <c r="O347" s="2" t="n"/>
      <c r="P347" s="2" t="n"/>
    </row>
    <row r="348">
      <c r="A348" s="5" t="inlineStr">
        <is>
          <t>ORD-0372</t>
        </is>
      </c>
      <c r="B348" s="50" t="n">
        <v>46273</v>
      </c>
      <c r="C348" s="5" t="inlineStr">
        <is>
          <t>S01</t>
        </is>
      </c>
      <c r="D348" s="5" t="inlineStr">
        <is>
          <t>Mumbai</t>
        </is>
      </c>
      <c r="E348" s="5" t="inlineStr">
        <is>
          <t>P401</t>
        </is>
      </c>
      <c r="F348" s="5" t="inlineStr">
        <is>
          <t>Accessories</t>
        </is>
      </c>
      <c r="G348" s="5" t="n">
        <v>3</v>
      </c>
      <c r="H348" s="51" t="n">
        <v>1799</v>
      </c>
      <c r="I348" s="62" t="n">
        <v>0.05</v>
      </c>
      <c r="J348" s="5" t="inlineStr">
        <is>
          <t>Online</t>
        </is>
      </c>
      <c r="K348" s="5" t="inlineStr">
        <is>
          <t>No</t>
        </is>
      </c>
      <c r="L348" s="51">
        <f>G348*H348*(1-I348)</f>
        <v/>
      </c>
      <c r="M348" s="51">
        <f>G348*INDEX(Lookups!$E$3:$E$12,MATCH(E348,Lookups!$A$3:$A$12,0))</f>
        <v/>
      </c>
      <c r="N348" s="51">
        <f>L348-M348</f>
        <v/>
      </c>
      <c r="O348" s="2" t="n"/>
      <c r="P348" s="2" t="n"/>
    </row>
    <row r="349">
      <c r="A349" s="5" t="inlineStr">
        <is>
          <t>ORD-0056</t>
        </is>
      </c>
      <c r="B349" s="50" t="n">
        <v>46274</v>
      </c>
      <c r="C349" s="5" t="inlineStr">
        <is>
          <t>S05</t>
        </is>
      </c>
      <c r="D349" s="5" t="inlineStr">
        <is>
          <t>Chennai</t>
        </is>
      </c>
      <c r="E349" s="5" t="inlineStr">
        <is>
          <t>P401</t>
        </is>
      </c>
      <c r="F349" s="5" t="inlineStr">
        <is>
          <t>Accessories</t>
        </is>
      </c>
      <c r="G349" s="5" t="n">
        <v>1</v>
      </c>
      <c r="H349" s="51" t="n">
        <v>1799</v>
      </c>
      <c r="I349" s="62" t="n">
        <v>0.05</v>
      </c>
      <c r="J349" s="5" t="inlineStr">
        <is>
          <t>Online</t>
        </is>
      </c>
      <c r="K349" s="5" t="inlineStr">
        <is>
          <t>No</t>
        </is>
      </c>
      <c r="L349" s="51">
        <f>G349*H349*(1-I349)</f>
        <v/>
      </c>
      <c r="M349" s="51">
        <f>G349*INDEX(Lookups!$E$3:$E$12,MATCH(E349,Lookups!$A$3:$A$12,0))</f>
        <v/>
      </c>
      <c r="N349" s="51">
        <f>L349-M349</f>
        <v/>
      </c>
      <c r="O349" s="2" t="n"/>
      <c r="P349" s="2" t="n"/>
    </row>
    <row r="350">
      <c r="A350" s="5" t="inlineStr">
        <is>
          <t>ORD-0092</t>
        </is>
      </c>
      <c r="B350" s="50" t="n">
        <v>46274</v>
      </c>
      <c r="C350" s="5" t="inlineStr">
        <is>
          <t>S05</t>
        </is>
      </c>
      <c r="D350" s="5" t="inlineStr">
        <is>
          <t>Chennai</t>
        </is>
      </c>
      <c r="E350" s="5" t="inlineStr">
        <is>
          <t>P102</t>
        </is>
      </c>
      <c r="F350" s="5" t="inlineStr">
        <is>
          <t>Mobiles</t>
        </is>
      </c>
      <c r="G350" s="5" t="n">
        <v>1</v>
      </c>
      <c r="H350" s="51" t="n">
        <v>32999</v>
      </c>
      <c r="I350" s="62" t="n">
        <v>0</v>
      </c>
      <c r="J350" s="5" t="inlineStr">
        <is>
          <t>Online</t>
        </is>
      </c>
      <c r="K350" s="5" t="inlineStr">
        <is>
          <t>No</t>
        </is>
      </c>
      <c r="L350" s="51">
        <f>G350*H350*(1-I350)</f>
        <v/>
      </c>
      <c r="M350" s="51">
        <f>G350*INDEX(Lookups!$E$3:$E$12,MATCH(E350,Lookups!$A$3:$A$12,0))</f>
        <v/>
      </c>
      <c r="N350" s="51">
        <f>L350-M350</f>
        <v/>
      </c>
      <c r="O350" s="2" t="n"/>
      <c r="P350" s="2" t="n"/>
    </row>
    <row r="351">
      <c r="A351" s="5" t="inlineStr">
        <is>
          <t>ORD-0393</t>
        </is>
      </c>
      <c r="B351" s="50" t="n">
        <v>46274</v>
      </c>
      <c r="C351" s="5" t="inlineStr">
        <is>
          <t>S02</t>
        </is>
      </c>
      <c r="D351" s="5" t="inlineStr">
        <is>
          <t>Pune</t>
        </is>
      </c>
      <c r="E351" s="5" t="inlineStr">
        <is>
          <t>P201</t>
        </is>
      </c>
      <c r="F351" s="5" t="inlineStr">
        <is>
          <t>Laptops</t>
        </is>
      </c>
      <c r="G351" s="5" t="n">
        <v>1</v>
      </c>
      <c r="H351" s="51" t="n">
        <v>54999</v>
      </c>
      <c r="I351" s="62" t="n">
        <v>0</v>
      </c>
      <c r="J351" s="5" t="inlineStr">
        <is>
          <t>Walk-in</t>
        </is>
      </c>
      <c r="K351" s="5" t="inlineStr">
        <is>
          <t>No</t>
        </is>
      </c>
      <c r="L351" s="51">
        <f>G351*H351*(1-I351)</f>
        <v/>
      </c>
      <c r="M351" s="51">
        <f>G351*INDEX(Lookups!$E$3:$E$12,MATCH(E351,Lookups!$A$3:$A$12,0))</f>
        <v/>
      </c>
      <c r="N351" s="51">
        <f>L351-M351</f>
        <v/>
      </c>
      <c r="O351" s="2" t="n"/>
      <c r="P351" s="2" t="n"/>
    </row>
    <row r="352">
      <c r="A352" s="5" t="inlineStr">
        <is>
          <t>ORD-0299</t>
        </is>
      </c>
      <c r="B352" s="50" t="n">
        <v>46275</v>
      </c>
      <c r="C352" s="5" t="inlineStr">
        <is>
          <t>S01</t>
        </is>
      </c>
      <c r="D352" s="5" t="inlineStr">
        <is>
          <t>Mumbai</t>
        </is>
      </c>
      <c r="E352" s="5" t="inlineStr">
        <is>
          <t>P501</t>
        </is>
      </c>
      <c r="F352" s="5" t="inlineStr">
        <is>
          <t>TV</t>
        </is>
      </c>
      <c r="G352" s="5" t="n">
        <v>1</v>
      </c>
      <c r="H352" s="51" t="n">
        <v>32999</v>
      </c>
      <c r="I352" s="62" t="n">
        <v>0.05</v>
      </c>
      <c r="J352" s="5" t="inlineStr">
        <is>
          <t>Corporate</t>
        </is>
      </c>
      <c r="K352" s="5" t="inlineStr">
        <is>
          <t>Yes</t>
        </is>
      </c>
      <c r="L352" s="51">
        <f>G352*H352*(1-I352)</f>
        <v/>
      </c>
      <c r="M352" s="51">
        <f>G352*INDEX(Lookups!$E$3:$E$12,MATCH(E352,Lookups!$A$3:$A$12,0))</f>
        <v/>
      </c>
      <c r="N352" s="51">
        <f>L352-M352</f>
        <v/>
      </c>
      <c r="O352" s="2" t="n"/>
      <c r="P352" s="2" t="n"/>
    </row>
    <row r="353">
      <c r="A353" s="5" t="inlineStr">
        <is>
          <t>ORD-0115</t>
        </is>
      </c>
      <c r="B353" s="50" t="n">
        <v>46276</v>
      </c>
      <c r="C353" s="5" t="inlineStr">
        <is>
          <t>S06</t>
        </is>
      </c>
      <c r="D353" s="5" t="inlineStr">
        <is>
          <t>Gurugram</t>
        </is>
      </c>
      <c r="E353" s="5" t="inlineStr">
        <is>
          <t>P302</t>
        </is>
      </c>
      <c r="F353" s="5" t="inlineStr">
        <is>
          <t>Audio</t>
        </is>
      </c>
      <c r="G353" s="5" t="n">
        <v>1</v>
      </c>
      <c r="H353" s="51" t="n">
        <v>4499</v>
      </c>
      <c r="I353" s="62" t="n">
        <v>0</v>
      </c>
      <c r="J353" s="5" t="inlineStr">
        <is>
          <t>Online</t>
        </is>
      </c>
      <c r="K353" s="5" t="inlineStr">
        <is>
          <t>No</t>
        </is>
      </c>
      <c r="L353" s="51">
        <f>G353*H353*(1-I353)</f>
        <v/>
      </c>
      <c r="M353" s="51">
        <f>G353*INDEX(Lookups!$E$3:$E$12,MATCH(E353,Lookups!$A$3:$A$12,0))</f>
        <v/>
      </c>
      <c r="N353" s="51">
        <f>L353-M353</f>
        <v/>
      </c>
      <c r="O353" s="2" t="n"/>
      <c r="P353" s="2" t="n"/>
    </row>
    <row r="354">
      <c r="A354" s="5" t="inlineStr">
        <is>
          <t>ORD-0264</t>
        </is>
      </c>
      <c r="B354" s="50" t="n">
        <v>46276</v>
      </c>
      <c r="C354" s="5" t="inlineStr">
        <is>
          <t>S01</t>
        </is>
      </c>
      <c r="D354" s="5" t="inlineStr">
        <is>
          <t>Mumbai</t>
        </is>
      </c>
      <c r="E354" s="5" t="inlineStr">
        <is>
          <t>P201</t>
        </is>
      </c>
      <c r="F354" s="5" t="inlineStr">
        <is>
          <t>Laptops</t>
        </is>
      </c>
      <c r="G354" s="5" t="n">
        <v>1</v>
      </c>
      <c r="H354" s="51" t="n">
        <v>54999</v>
      </c>
      <c r="I354" s="62" t="n">
        <v>0.05</v>
      </c>
      <c r="J354" s="5" t="inlineStr">
        <is>
          <t>Online</t>
        </is>
      </c>
      <c r="K354" s="5" t="inlineStr">
        <is>
          <t>Yes</t>
        </is>
      </c>
      <c r="L354" s="51">
        <f>G354*H354*(1-I354)</f>
        <v/>
      </c>
      <c r="M354" s="51">
        <f>G354*INDEX(Lookups!$E$3:$E$12,MATCH(E354,Lookups!$A$3:$A$12,0))</f>
        <v/>
      </c>
      <c r="N354" s="51">
        <f>L354-M354</f>
        <v/>
      </c>
      <c r="O354" s="2" t="n"/>
      <c r="P354" s="2" t="n"/>
    </row>
    <row r="355">
      <c r="A355" s="5" t="inlineStr">
        <is>
          <t>ORD-0096</t>
        </is>
      </c>
      <c r="B355" s="50" t="n">
        <v>46277</v>
      </c>
      <c r="C355" s="5" t="inlineStr">
        <is>
          <t>S04</t>
        </is>
      </c>
      <c r="D355" s="5" t="inlineStr">
        <is>
          <t>Bengaluru</t>
        </is>
      </c>
      <c r="E355" s="5" t="inlineStr">
        <is>
          <t>P401</t>
        </is>
      </c>
      <c r="F355" s="5" t="inlineStr">
        <is>
          <t>Accessories</t>
        </is>
      </c>
      <c r="G355" s="5" t="n">
        <v>1</v>
      </c>
      <c r="H355" s="51" t="n">
        <v>1799</v>
      </c>
      <c r="I355" s="62" t="n">
        <v>0</v>
      </c>
      <c r="J355" s="5" t="inlineStr">
        <is>
          <t>Walk-in</t>
        </is>
      </c>
      <c r="K355" s="5" t="inlineStr">
        <is>
          <t>Yes</t>
        </is>
      </c>
      <c r="L355" s="51">
        <f>G355*H355*(1-I355)</f>
        <v/>
      </c>
      <c r="M355" s="51">
        <f>G355*INDEX(Lookups!$E$3:$E$12,MATCH(E355,Lookups!$A$3:$A$12,0))</f>
        <v/>
      </c>
      <c r="N355" s="51">
        <f>L355-M355</f>
        <v/>
      </c>
      <c r="O355" s="2" t="n"/>
      <c r="P355" s="2" t="n"/>
    </row>
    <row r="356">
      <c r="A356" s="5" t="inlineStr">
        <is>
          <t>ORD-0231</t>
        </is>
      </c>
      <c r="B356" s="50" t="n">
        <v>46277</v>
      </c>
      <c r="C356" s="5" t="inlineStr">
        <is>
          <t>S04</t>
        </is>
      </c>
      <c r="D356" s="5" t="inlineStr">
        <is>
          <t>Bengaluru</t>
        </is>
      </c>
      <c r="E356" s="5" t="inlineStr">
        <is>
          <t>P102</t>
        </is>
      </c>
      <c r="F356" s="5" t="inlineStr">
        <is>
          <t>Mobiles</t>
        </is>
      </c>
      <c r="G356" s="5" t="n">
        <v>2</v>
      </c>
      <c r="H356" s="51" t="n">
        <v>32999</v>
      </c>
      <c r="I356" s="62" t="n">
        <v>0</v>
      </c>
      <c r="J356" s="5" t="inlineStr">
        <is>
          <t>Online</t>
        </is>
      </c>
      <c r="K356" s="5" t="inlineStr">
        <is>
          <t>No</t>
        </is>
      </c>
      <c r="L356" s="51">
        <f>G356*H356*(1-I356)</f>
        <v/>
      </c>
      <c r="M356" s="51">
        <f>G356*INDEX(Lookups!$E$3:$E$12,MATCH(E356,Lookups!$A$3:$A$12,0))</f>
        <v/>
      </c>
      <c r="N356" s="51">
        <f>L356-M356</f>
        <v/>
      </c>
      <c r="O356" s="2" t="n"/>
      <c r="P356" s="2" t="n"/>
    </row>
    <row r="357">
      <c r="A357" s="5" t="inlineStr">
        <is>
          <t>ORD-0307</t>
        </is>
      </c>
      <c r="B357" s="50" t="n">
        <v>46277</v>
      </c>
      <c r="C357" s="5" t="inlineStr">
        <is>
          <t>S01</t>
        </is>
      </c>
      <c r="D357" s="5" t="inlineStr">
        <is>
          <t>Mumbai</t>
        </is>
      </c>
      <c r="E357" s="5" t="inlineStr">
        <is>
          <t>P102</t>
        </is>
      </c>
      <c r="F357" s="5" t="inlineStr">
        <is>
          <t>Mobiles</t>
        </is>
      </c>
      <c r="G357" s="5" t="n">
        <v>1</v>
      </c>
      <c r="H357" s="51" t="n">
        <v>32999</v>
      </c>
      <c r="I357" s="62" t="n">
        <v>0</v>
      </c>
      <c r="J357" s="5" t="inlineStr">
        <is>
          <t>Walk-in</t>
        </is>
      </c>
      <c r="K357" s="5" t="inlineStr">
        <is>
          <t>No</t>
        </is>
      </c>
      <c r="L357" s="51">
        <f>G357*H357*(1-I357)</f>
        <v/>
      </c>
      <c r="M357" s="51">
        <f>G357*INDEX(Lookups!$E$3:$E$12,MATCH(E357,Lookups!$A$3:$A$12,0))</f>
        <v/>
      </c>
      <c r="N357" s="51">
        <f>L357-M357</f>
        <v/>
      </c>
      <c r="O357" s="2" t="n"/>
      <c r="P357" s="2" t="n"/>
    </row>
    <row r="358">
      <c r="A358" s="5" t="inlineStr">
        <is>
          <t>ORD-0343</t>
        </is>
      </c>
      <c r="B358" s="50" t="n">
        <v>46277</v>
      </c>
      <c r="C358" s="5" t="inlineStr">
        <is>
          <t>S04</t>
        </is>
      </c>
      <c r="D358" s="5" t="inlineStr">
        <is>
          <t>Bengaluru</t>
        </is>
      </c>
      <c r="E358" s="5" t="inlineStr">
        <is>
          <t>P401</t>
        </is>
      </c>
      <c r="F358" s="5" t="inlineStr">
        <is>
          <t>Accessories</t>
        </is>
      </c>
      <c r="G358" s="5" t="n">
        <v>2</v>
      </c>
      <c r="H358" s="51" t="n">
        <v>1799</v>
      </c>
      <c r="I358" s="62" t="n">
        <v>0</v>
      </c>
      <c r="J358" s="5" t="inlineStr">
        <is>
          <t>Walk-in</t>
        </is>
      </c>
      <c r="K358" s="5" t="inlineStr">
        <is>
          <t>Yes</t>
        </is>
      </c>
      <c r="L358" s="51">
        <f>G358*H358*(1-I358)</f>
        <v/>
      </c>
      <c r="M358" s="51">
        <f>G358*INDEX(Lookups!$E$3:$E$12,MATCH(E358,Lookups!$A$3:$A$12,0))</f>
        <v/>
      </c>
      <c r="N358" s="51">
        <f>L358-M358</f>
        <v/>
      </c>
      <c r="O358" s="2" t="n"/>
      <c r="P358" s="2" t="n"/>
    </row>
    <row r="359">
      <c r="A359" s="5" t="inlineStr">
        <is>
          <t>ORD-0018</t>
        </is>
      </c>
      <c r="B359" s="50" t="n">
        <v>46279</v>
      </c>
      <c r="C359" s="5" t="inlineStr">
        <is>
          <t>S04</t>
        </is>
      </c>
      <c r="D359" s="5" t="inlineStr">
        <is>
          <t>Bengaluru</t>
        </is>
      </c>
      <c r="E359" s="5" t="inlineStr">
        <is>
          <t>P401</t>
        </is>
      </c>
      <c r="F359" s="5" t="inlineStr">
        <is>
          <t>Accessories</t>
        </is>
      </c>
      <c r="G359" s="5" t="n">
        <v>1</v>
      </c>
      <c r="H359" s="51" t="n">
        <v>1799</v>
      </c>
      <c r="I359" s="62" t="n">
        <v>0</v>
      </c>
      <c r="J359" s="5" t="inlineStr">
        <is>
          <t>Walk-in</t>
        </is>
      </c>
      <c r="K359" s="5" t="inlineStr">
        <is>
          <t>No</t>
        </is>
      </c>
      <c r="L359" s="51">
        <f>G359*H359*(1-I359)</f>
        <v/>
      </c>
      <c r="M359" s="51">
        <f>G359*INDEX(Lookups!$E$3:$E$12,MATCH(E359,Lookups!$A$3:$A$12,0))</f>
        <v/>
      </c>
      <c r="N359" s="51">
        <f>L359-M359</f>
        <v/>
      </c>
      <c r="O359" s="2" t="n"/>
      <c r="P359" s="2" t="n"/>
    </row>
    <row r="360">
      <c r="A360" s="5" t="inlineStr">
        <is>
          <t>ORD-0185</t>
        </is>
      </c>
      <c r="B360" s="50" t="n">
        <v>46279</v>
      </c>
      <c r="C360" s="5" t="inlineStr">
        <is>
          <t>S05</t>
        </is>
      </c>
      <c r="D360" s="5" t="inlineStr">
        <is>
          <t>Chennai</t>
        </is>
      </c>
      <c r="E360" s="5" t="inlineStr">
        <is>
          <t>P301</t>
        </is>
      </c>
      <c r="F360" s="5" t="inlineStr">
        <is>
          <t>Audio</t>
        </is>
      </c>
      <c r="G360" s="5" t="n">
        <v>4</v>
      </c>
      <c r="H360" s="51" t="n">
        <v>2999</v>
      </c>
      <c r="I360" s="62" t="n">
        <v>0.05</v>
      </c>
      <c r="J360" s="5" t="inlineStr">
        <is>
          <t>Walk-in</t>
        </is>
      </c>
      <c r="K360" s="5" t="inlineStr">
        <is>
          <t>No</t>
        </is>
      </c>
      <c r="L360" s="51">
        <f>G360*H360*(1-I360)</f>
        <v/>
      </c>
      <c r="M360" s="51">
        <f>G360*INDEX(Lookups!$E$3:$E$12,MATCH(E360,Lookups!$A$3:$A$12,0))</f>
        <v/>
      </c>
      <c r="N360" s="51">
        <f>L360-M360</f>
        <v/>
      </c>
      <c r="O360" s="2" t="n"/>
      <c r="P360" s="2" t="n"/>
    </row>
    <row r="361">
      <c r="A361" s="5" t="inlineStr">
        <is>
          <t>ORD-0203</t>
        </is>
      </c>
      <c r="B361" s="50" t="n">
        <v>46279</v>
      </c>
      <c r="C361" s="5" t="inlineStr">
        <is>
          <t>S03</t>
        </is>
      </c>
      <c r="D361" s="5" t="inlineStr">
        <is>
          <t>Delhi</t>
        </is>
      </c>
      <c r="E361" s="5" t="inlineStr">
        <is>
          <t>P402</t>
        </is>
      </c>
      <c r="F361" s="5" t="inlineStr">
        <is>
          <t>Accessories</t>
        </is>
      </c>
      <c r="G361" s="5" t="n">
        <v>1</v>
      </c>
      <c r="H361" s="51" t="n">
        <v>1499</v>
      </c>
      <c r="I361" s="62" t="n">
        <v>0</v>
      </c>
      <c r="J361" s="5" t="inlineStr">
        <is>
          <t>Corporate</t>
        </is>
      </c>
      <c r="K361" s="5" t="inlineStr">
        <is>
          <t>No</t>
        </is>
      </c>
      <c r="L361" s="51">
        <f>G361*H361*(1-I361)</f>
        <v/>
      </c>
      <c r="M361" s="51">
        <f>G361*INDEX(Lookups!$E$3:$E$12,MATCH(E361,Lookups!$A$3:$A$12,0))</f>
        <v/>
      </c>
      <c r="N361" s="51">
        <f>L361-M361</f>
        <v/>
      </c>
      <c r="O361" s="2" t="n"/>
      <c r="P361" s="2" t="n"/>
    </row>
    <row r="362">
      <c r="A362" s="5" t="inlineStr">
        <is>
          <t>ORD-0308</t>
        </is>
      </c>
      <c r="B362" s="50" t="n">
        <v>46279</v>
      </c>
      <c r="C362" s="5" t="inlineStr">
        <is>
          <t>S02</t>
        </is>
      </c>
      <c r="D362" s="5" t="inlineStr">
        <is>
          <t>Pune</t>
        </is>
      </c>
      <c r="E362" s="5" t="inlineStr">
        <is>
          <t>P301</t>
        </is>
      </c>
      <c r="F362" s="5" t="inlineStr">
        <is>
          <t>Audio</t>
        </is>
      </c>
      <c r="G362" s="5" t="n">
        <v>1</v>
      </c>
      <c r="H362" s="51" t="n">
        <v>2999</v>
      </c>
      <c r="I362" s="62" t="n">
        <v>0</v>
      </c>
      <c r="J362" s="5" t="inlineStr">
        <is>
          <t>Online</t>
        </is>
      </c>
      <c r="K362" s="5" t="inlineStr">
        <is>
          <t>Yes</t>
        </is>
      </c>
      <c r="L362" s="51">
        <f>G362*H362*(1-I362)</f>
        <v/>
      </c>
      <c r="M362" s="51">
        <f>G362*INDEX(Lookups!$E$3:$E$12,MATCH(E362,Lookups!$A$3:$A$12,0))</f>
        <v/>
      </c>
      <c r="N362" s="51">
        <f>L362-M362</f>
        <v/>
      </c>
      <c r="O362" s="2" t="n"/>
      <c r="P362" s="2" t="n"/>
    </row>
    <row r="363">
      <c r="A363" s="5" t="inlineStr">
        <is>
          <t>ORD-0379</t>
        </is>
      </c>
      <c r="B363" s="50" t="n">
        <v>46279</v>
      </c>
      <c r="C363" s="5" t="inlineStr">
        <is>
          <t>S01</t>
        </is>
      </c>
      <c r="D363" s="5" t="inlineStr">
        <is>
          <t>Mumbai</t>
        </is>
      </c>
      <c r="E363" s="5" t="inlineStr">
        <is>
          <t>P302</t>
        </is>
      </c>
      <c r="F363" s="5" t="inlineStr">
        <is>
          <t>Audio</t>
        </is>
      </c>
      <c r="G363" s="5" t="n">
        <v>2</v>
      </c>
      <c r="H363" s="51" t="n">
        <v>4499</v>
      </c>
      <c r="I363" s="62" t="n">
        <v>0</v>
      </c>
      <c r="J363" s="5" t="inlineStr">
        <is>
          <t>Corporate</t>
        </is>
      </c>
      <c r="K363" s="5" t="inlineStr">
        <is>
          <t>Yes</t>
        </is>
      </c>
      <c r="L363" s="51">
        <f>G363*H363*(1-I363)</f>
        <v/>
      </c>
      <c r="M363" s="51">
        <f>G363*INDEX(Lookups!$E$3:$E$12,MATCH(E363,Lookups!$A$3:$A$12,0))</f>
        <v/>
      </c>
      <c r="N363" s="51">
        <f>L363-M363</f>
        <v/>
      </c>
      <c r="O363" s="2" t="n"/>
      <c r="P363" s="2" t="n"/>
    </row>
    <row r="364">
      <c r="A364" s="5" t="inlineStr">
        <is>
          <t>ORD-0091</t>
        </is>
      </c>
      <c r="B364" s="50" t="n">
        <v>46280</v>
      </c>
      <c r="C364" s="5" t="inlineStr">
        <is>
          <t>S03</t>
        </is>
      </c>
      <c r="D364" s="5" t="inlineStr">
        <is>
          <t>Delhi</t>
        </is>
      </c>
      <c r="E364" s="5" t="inlineStr">
        <is>
          <t>P401</t>
        </is>
      </c>
      <c r="F364" s="5" t="inlineStr">
        <is>
          <t>Accessories</t>
        </is>
      </c>
      <c r="G364" s="5" t="n">
        <v>1</v>
      </c>
      <c r="H364" s="51" t="n">
        <v>1799</v>
      </c>
      <c r="I364" s="62" t="n">
        <v>0</v>
      </c>
      <c r="J364" s="5" t="inlineStr">
        <is>
          <t>Online</t>
        </is>
      </c>
      <c r="K364" s="5" t="inlineStr">
        <is>
          <t>No</t>
        </is>
      </c>
      <c r="L364" s="51">
        <f>G364*H364*(1-I364)</f>
        <v/>
      </c>
      <c r="M364" s="51">
        <f>G364*INDEX(Lookups!$E$3:$E$12,MATCH(E364,Lookups!$A$3:$A$12,0))</f>
        <v/>
      </c>
      <c r="N364" s="51">
        <f>L364-M364</f>
        <v/>
      </c>
      <c r="O364" s="2" t="n"/>
      <c r="P364" s="2" t="n"/>
    </row>
    <row r="365">
      <c r="A365" s="5" t="inlineStr">
        <is>
          <t>ORD-0324</t>
        </is>
      </c>
      <c r="B365" s="50" t="n">
        <v>46280</v>
      </c>
      <c r="C365" s="5" t="inlineStr">
        <is>
          <t>S06</t>
        </is>
      </c>
      <c r="D365" s="5" t="inlineStr">
        <is>
          <t>Gurugram</t>
        </is>
      </c>
      <c r="E365" s="5" t="inlineStr">
        <is>
          <t>P301</t>
        </is>
      </c>
      <c r="F365" s="5" t="inlineStr">
        <is>
          <t>Audio</t>
        </is>
      </c>
      <c r="G365" s="5" t="n">
        <v>3</v>
      </c>
      <c r="H365" s="51" t="n">
        <v>2999</v>
      </c>
      <c r="I365" s="62" t="n">
        <v>0</v>
      </c>
      <c r="J365" s="5" t="inlineStr">
        <is>
          <t>Corporate</t>
        </is>
      </c>
      <c r="K365" s="5" t="inlineStr">
        <is>
          <t>No</t>
        </is>
      </c>
      <c r="L365" s="51">
        <f>G365*H365*(1-I365)</f>
        <v/>
      </c>
      <c r="M365" s="51">
        <f>G365*INDEX(Lookups!$E$3:$E$12,MATCH(E365,Lookups!$A$3:$A$12,0))</f>
        <v/>
      </c>
      <c r="N365" s="51">
        <f>L365-M365</f>
        <v/>
      </c>
      <c r="O365" s="2" t="n"/>
      <c r="P365" s="2" t="n"/>
    </row>
    <row r="366">
      <c r="A366" s="5" t="inlineStr">
        <is>
          <t>ORD-0037</t>
        </is>
      </c>
      <c r="B366" s="50" t="n">
        <v>46281</v>
      </c>
      <c r="C366" s="5" t="inlineStr">
        <is>
          <t>S03</t>
        </is>
      </c>
      <c r="D366" s="5" t="inlineStr">
        <is>
          <t>Delhi</t>
        </is>
      </c>
      <c r="E366" s="5" t="inlineStr">
        <is>
          <t>P502</t>
        </is>
      </c>
      <c r="F366" s="5" t="inlineStr">
        <is>
          <t>TV</t>
        </is>
      </c>
      <c r="G366" s="5" t="n">
        <v>2</v>
      </c>
      <c r="H366" s="51" t="n">
        <v>52999</v>
      </c>
      <c r="I366" s="62" t="n">
        <v>0</v>
      </c>
      <c r="J366" s="5" t="inlineStr">
        <is>
          <t>Corporate</t>
        </is>
      </c>
      <c r="K366" s="5" t="inlineStr">
        <is>
          <t>No</t>
        </is>
      </c>
      <c r="L366" s="51">
        <f>G366*H366*(1-I366)</f>
        <v/>
      </c>
      <c r="M366" s="51">
        <f>G366*INDEX(Lookups!$E$3:$E$12,MATCH(E366,Lookups!$A$3:$A$12,0))</f>
        <v/>
      </c>
      <c r="N366" s="51">
        <f>L366-M366</f>
        <v/>
      </c>
      <c r="O366" s="2" t="n"/>
      <c r="P366" s="2" t="n"/>
    </row>
    <row r="367">
      <c r="A367" s="5" t="inlineStr">
        <is>
          <t>ORD-0178</t>
        </is>
      </c>
      <c r="B367" s="50" t="n">
        <v>46281</v>
      </c>
      <c r="C367" s="5" t="inlineStr">
        <is>
          <t>S03</t>
        </is>
      </c>
      <c r="D367" s="5" t="inlineStr">
        <is>
          <t>Delhi</t>
        </is>
      </c>
      <c r="E367" s="5" t="inlineStr">
        <is>
          <t>P302</t>
        </is>
      </c>
      <c r="F367" s="5" t="inlineStr">
        <is>
          <t>Audio</t>
        </is>
      </c>
      <c r="G367" s="5" t="n">
        <v>2</v>
      </c>
      <c r="H367" s="51" t="n">
        <v>4499</v>
      </c>
      <c r="I367" s="62" t="n">
        <v>0.1</v>
      </c>
      <c r="J367" s="5" t="inlineStr">
        <is>
          <t>Online</t>
        </is>
      </c>
      <c r="K367" s="5" t="inlineStr">
        <is>
          <t>Yes</t>
        </is>
      </c>
      <c r="L367" s="51">
        <f>G367*H367*(1-I367)</f>
        <v/>
      </c>
      <c r="M367" s="51">
        <f>G367*INDEX(Lookups!$E$3:$E$12,MATCH(E367,Lookups!$A$3:$A$12,0))</f>
        <v/>
      </c>
      <c r="N367" s="51">
        <f>L367-M367</f>
        <v/>
      </c>
      <c r="O367" s="2" t="n"/>
      <c r="P367" s="2" t="n"/>
    </row>
    <row r="368">
      <c r="A368" s="5" t="inlineStr">
        <is>
          <t>ORD-0194</t>
        </is>
      </c>
      <c r="B368" s="50" t="n">
        <v>46281</v>
      </c>
      <c r="C368" s="5" t="inlineStr">
        <is>
          <t>S04</t>
        </is>
      </c>
      <c r="D368" s="5" t="inlineStr">
        <is>
          <t>Bengaluru</t>
        </is>
      </c>
      <c r="E368" s="5" t="inlineStr">
        <is>
          <t>P401</t>
        </is>
      </c>
      <c r="F368" s="5" t="inlineStr">
        <is>
          <t>Accessories</t>
        </is>
      </c>
      <c r="G368" s="5" t="n">
        <v>1</v>
      </c>
      <c r="H368" s="51" t="n">
        <v>1799</v>
      </c>
      <c r="I368" s="62" t="n">
        <v>0.1</v>
      </c>
      <c r="J368" s="5" t="inlineStr">
        <is>
          <t>Corporate</t>
        </is>
      </c>
      <c r="K368" s="5" t="inlineStr">
        <is>
          <t>Yes</t>
        </is>
      </c>
      <c r="L368" s="51">
        <f>G368*H368*(1-I368)</f>
        <v/>
      </c>
      <c r="M368" s="51">
        <f>G368*INDEX(Lookups!$E$3:$E$12,MATCH(E368,Lookups!$A$3:$A$12,0))</f>
        <v/>
      </c>
      <c r="N368" s="51">
        <f>L368-M368</f>
        <v/>
      </c>
      <c r="O368" s="2" t="n"/>
      <c r="P368" s="2" t="n"/>
    </row>
    <row r="369">
      <c r="A369" s="5" t="inlineStr">
        <is>
          <t>ORD-0290</t>
        </is>
      </c>
      <c r="B369" s="50" t="n">
        <v>46281</v>
      </c>
      <c r="C369" s="5" t="inlineStr">
        <is>
          <t>S06</t>
        </is>
      </c>
      <c r="D369" s="5" t="inlineStr">
        <is>
          <t>Gurugram</t>
        </is>
      </c>
      <c r="E369" s="5" t="inlineStr">
        <is>
          <t>P401</t>
        </is>
      </c>
      <c r="F369" s="5" t="inlineStr">
        <is>
          <t>Accessories</t>
        </is>
      </c>
      <c r="G369" s="5" t="n">
        <v>1</v>
      </c>
      <c r="H369" s="51" t="n">
        <v>1799</v>
      </c>
      <c r="I369" s="62" t="n">
        <v>0</v>
      </c>
      <c r="J369" s="5" t="inlineStr">
        <is>
          <t>Online</t>
        </is>
      </c>
      <c r="K369" s="5" t="inlineStr">
        <is>
          <t>Yes</t>
        </is>
      </c>
      <c r="L369" s="51">
        <f>G369*H369*(1-I369)</f>
        <v/>
      </c>
      <c r="M369" s="51">
        <f>G369*INDEX(Lookups!$E$3:$E$12,MATCH(E369,Lookups!$A$3:$A$12,0))</f>
        <v/>
      </c>
      <c r="N369" s="51">
        <f>L369-M369</f>
        <v/>
      </c>
      <c r="O369" s="2" t="n"/>
      <c r="P369" s="2" t="n"/>
    </row>
    <row r="370">
      <c r="A370" s="5" t="inlineStr">
        <is>
          <t>ORD-0040</t>
        </is>
      </c>
      <c r="B370" s="50" t="n">
        <v>46282</v>
      </c>
      <c r="C370" s="5" t="inlineStr">
        <is>
          <t>S05</t>
        </is>
      </c>
      <c r="D370" s="5" t="inlineStr">
        <is>
          <t>Chennai</t>
        </is>
      </c>
      <c r="E370" s="5" t="inlineStr">
        <is>
          <t>P402</t>
        </is>
      </c>
      <c r="F370" s="5" t="inlineStr">
        <is>
          <t>Accessories</t>
        </is>
      </c>
      <c r="G370" s="5" t="n">
        <v>1</v>
      </c>
      <c r="H370" s="51" t="n">
        <v>1499</v>
      </c>
      <c r="I370" s="62" t="n">
        <v>0</v>
      </c>
      <c r="J370" s="5" t="inlineStr">
        <is>
          <t>Corporate</t>
        </is>
      </c>
      <c r="K370" s="5" t="inlineStr">
        <is>
          <t>No</t>
        </is>
      </c>
      <c r="L370" s="51">
        <f>G370*H370*(1-I370)</f>
        <v/>
      </c>
      <c r="M370" s="51">
        <f>G370*INDEX(Lookups!$E$3:$E$12,MATCH(E370,Lookups!$A$3:$A$12,0))</f>
        <v/>
      </c>
      <c r="N370" s="51">
        <f>L370-M370</f>
        <v/>
      </c>
      <c r="O370" s="2" t="n"/>
      <c r="P370" s="2" t="n"/>
    </row>
    <row r="371">
      <c r="A371" s="5" t="inlineStr">
        <is>
          <t>ORD-0341</t>
        </is>
      </c>
      <c r="B371" s="50" t="n">
        <v>46282</v>
      </c>
      <c r="C371" s="5" t="inlineStr">
        <is>
          <t>S03</t>
        </is>
      </c>
      <c r="D371" s="5" t="inlineStr">
        <is>
          <t>Delhi</t>
        </is>
      </c>
      <c r="E371" s="5" t="inlineStr">
        <is>
          <t>P201</t>
        </is>
      </c>
      <c r="F371" s="5" t="inlineStr">
        <is>
          <t>Laptops</t>
        </is>
      </c>
      <c r="G371" s="5" t="n">
        <v>2</v>
      </c>
      <c r="H371" s="51" t="n">
        <v>54999</v>
      </c>
      <c r="I371" s="62" t="n">
        <v>0.05</v>
      </c>
      <c r="J371" s="5" t="inlineStr">
        <is>
          <t>Walk-in</t>
        </is>
      </c>
      <c r="K371" s="5" t="inlineStr">
        <is>
          <t>No</t>
        </is>
      </c>
      <c r="L371" s="51">
        <f>G371*H371*(1-I371)</f>
        <v/>
      </c>
      <c r="M371" s="51">
        <f>G371*INDEX(Lookups!$E$3:$E$12,MATCH(E371,Lookups!$A$3:$A$12,0))</f>
        <v/>
      </c>
      <c r="N371" s="51">
        <f>L371-M371</f>
        <v/>
      </c>
      <c r="O371" s="2" t="n"/>
      <c r="P371" s="2" t="n"/>
    </row>
    <row r="372">
      <c r="A372" s="5" t="inlineStr">
        <is>
          <t>ORD-0075</t>
        </is>
      </c>
      <c r="B372" s="50" t="n">
        <v>46283</v>
      </c>
      <c r="C372" s="5" t="inlineStr">
        <is>
          <t>S01</t>
        </is>
      </c>
      <c r="D372" s="5" t="inlineStr">
        <is>
          <t>Mumbai</t>
        </is>
      </c>
      <c r="E372" s="5" t="inlineStr">
        <is>
          <t>P302</t>
        </is>
      </c>
      <c r="F372" s="5" t="inlineStr">
        <is>
          <t>Audio</t>
        </is>
      </c>
      <c r="G372" s="5" t="n">
        <v>4</v>
      </c>
      <c r="H372" s="51" t="n">
        <v>4499</v>
      </c>
      <c r="I372" s="62" t="n">
        <v>0.05</v>
      </c>
      <c r="J372" s="5" t="inlineStr">
        <is>
          <t>Online</t>
        </is>
      </c>
      <c r="K372" s="5" t="inlineStr">
        <is>
          <t>Yes</t>
        </is>
      </c>
      <c r="L372" s="51">
        <f>G372*H372*(1-I372)</f>
        <v/>
      </c>
      <c r="M372" s="51">
        <f>G372*INDEX(Lookups!$E$3:$E$12,MATCH(E372,Lookups!$A$3:$A$12,0))</f>
        <v/>
      </c>
      <c r="N372" s="51">
        <f>L372-M372</f>
        <v/>
      </c>
      <c r="O372" s="2" t="n"/>
      <c r="P372" s="2" t="n"/>
    </row>
    <row r="373">
      <c r="A373" s="5" t="inlineStr">
        <is>
          <t>ORD-0235</t>
        </is>
      </c>
      <c r="B373" s="50" t="n">
        <v>46284</v>
      </c>
      <c r="C373" s="5" t="inlineStr">
        <is>
          <t>S03</t>
        </is>
      </c>
      <c r="D373" s="5" t="inlineStr">
        <is>
          <t>Delhi</t>
        </is>
      </c>
      <c r="E373" s="5" t="inlineStr">
        <is>
          <t>P102</t>
        </is>
      </c>
      <c r="F373" s="5" t="inlineStr">
        <is>
          <t>Mobiles</t>
        </is>
      </c>
      <c r="G373" s="5" t="n">
        <v>1</v>
      </c>
      <c r="H373" s="51" t="n">
        <v>32999</v>
      </c>
      <c r="I373" s="62" t="n">
        <v>0.05</v>
      </c>
      <c r="J373" s="5" t="inlineStr">
        <is>
          <t>Walk-in</t>
        </is>
      </c>
      <c r="K373" s="5" t="inlineStr">
        <is>
          <t>Yes</t>
        </is>
      </c>
      <c r="L373" s="51">
        <f>G373*H373*(1-I373)</f>
        <v/>
      </c>
      <c r="M373" s="51">
        <f>G373*INDEX(Lookups!$E$3:$E$12,MATCH(E373,Lookups!$A$3:$A$12,0))</f>
        <v/>
      </c>
      <c r="N373" s="51">
        <f>L373-M373</f>
        <v/>
      </c>
      <c r="O373" s="2" t="n"/>
      <c r="P373" s="2" t="n"/>
    </row>
    <row r="374">
      <c r="A374" s="5" t="inlineStr">
        <is>
          <t>ORD-0046</t>
        </is>
      </c>
      <c r="B374" s="50" t="n">
        <v>46285</v>
      </c>
      <c r="C374" s="5" t="inlineStr">
        <is>
          <t>S02</t>
        </is>
      </c>
      <c r="D374" s="5" t="inlineStr">
        <is>
          <t>Pune</t>
        </is>
      </c>
      <c r="E374" s="5" t="inlineStr">
        <is>
          <t>P401</t>
        </is>
      </c>
      <c r="F374" s="5" t="inlineStr">
        <is>
          <t>Accessories</t>
        </is>
      </c>
      <c r="G374" s="5" t="n">
        <v>1</v>
      </c>
      <c r="H374" s="51" t="n">
        <v>1799</v>
      </c>
      <c r="I374" s="62" t="n">
        <v>0</v>
      </c>
      <c r="J374" s="5" t="inlineStr">
        <is>
          <t>Corporate</t>
        </is>
      </c>
      <c r="K374" s="5" t="inlineStr">
        <is>
          <t>Yes</t>
        </is>
      </c>
      <c r="L374" s="51">
        <f>G374*H374*(1-I374)</f>
        <v/>
      </c>
      <c r="M374" s="51">
        <f>G374*INDEX(Lookups!$E$3:$E$12,MATCH(E374,Lookups!$A$3:$A$12,0))</f>
        <v/>
      </c>
      <c r="N374" s="51">
        <f>L374-M374</f>
        <v/>
      </c>
      <c r="O374" s="2" t="n"/>
      <c r="P374" s="2" t="n"/>
    </row>
    <row r="375">
      <c r="A375" s="5" t="inlineStr">
        <is>
          <t>ORD-0144</t>
        </is>
      </c>
      <c r="B375" s="50" t="n">
        <v>46285</v>
      </c>
      <c r="C375" s="5" t="inlineStr">
        <is>
          <t>S03</t>
        </is>
      </c>
      <c r="D375" s="5" t="inlineStr">
        <is>
          <t>Delhi</t>
        </is>
      </c>
      <c r="E375" s="5" t="inlineStr">
        <is>
          <t>P302</t>
        </is>
      </c>
      <c r="F375" s="5" t="inlineStr">
        <is>
          <t>Audio</t>
        </is>
      </c>
      <c r="G375" s="5" t="n">
        <v>4</v>
      </c>
      <c r="H375" s="51" t="n">
        <v>4499</v>
      </c>
      <c r="I375" s="62" t="n">
        <v>0.1</v>
      </c>
      <c r="J375" s="5" t="inlineStr">
        <is>
          <t>Corporate</t>
        </is>
      </c>
      <c r="K375" s="5" t="inlineStr">
        <is>
          <t>Yes</t>
        </is>
      </c>
      <c r="L375" s="51">
        <f>G375*H375*(1-I375)</f>
        <v/>
      </c>
      <c r="M375" s="51">
        <f>G375*INDEX(Lookups!$E$3:$E$12,MATCH(E375,Lookups!$A$3:$A$12,0))</f>
        <v/>
      </c>
      <c r="N375" s="51">
        <f>L375-M375</f>
        <v/>
      </c>
      <c r="O375" s="2" t="n"/>
      <c r="P375" s="2" t="n"/>
    </row>
    <row r="376">
      <c r="A376" s="5" t="inlineStr">
        <is>
          <t>ORD-0270</t>
        </is>
      </c>
      <c r="B376" s="50" t="n">
        <v>46285</v>
      </c>
      <c r="C376" s="5" t="inlineStr">
        <is>
          <t>S04</t>
        </is>
      </c>
      <c r="D376" s="5" t="inlineStr">
        <is>
          <t>Bengaluru</t>
        </is>
      </c>
      <c r="E376" s="5" t="inlineStr">
        <is>
          <t>P302</t>
        </is>
      </c>
      <c r="F376" s="5" t="inlineStr">
        <is>
          <t>Audio</t>
        </is>
      </c>
      <c r="G376" s="5" t="n">
        <v>1</v>
      </c>
      <c r="H376" s="51" t="n">
        <v>4499</v>
      </c>
      <c r="I376" s="62" t="n">
        <v>0.1</v>
      </c>
      <c r="J376" s="5" t="inlineStr">
        <is>
          <t>Walk-in</t>
        </is>
      </c>
      <c r="K376" s="5" t="inlineStr">
        <is>
          <t>No</t>
        </is>
      </c>
      <c r="L376" s="51">
        <f>G376*H376*(1-I376)</f>
        <v/>
      </c>
      <c r="M376" s="51">
        <f>G376*INDEX(Lookups!$E$3:$E$12,MATCH(E376,Lookups!$A$3:$A$12,0))</f>
        <v/>
      </c>
      <c r="N376" s="51">
        <f>L376-M376</f>
        <v/>
      </c>
      <c r="O376" s="2" t="n"/>
      <c r="P376" s="2" t="n"/>
    </row>
    <row r="377">
      <c r="A377" s="5" t="inlineStr">
        <is>
          <t>ORD-0012</t>
        </is>
      </c>
      <c r="B377" s="50" t="n">
        <v>46286</v>
      </c>
      <c r="C377" s="5" t="inlineStr">
        <is>
          <t>S06</t>
        </is>
      </c>
      <c r="D377" s="5" t="inlineStr">
        <is>
          <t>Gurugram</t>
        </is>
      </c>
      <c r="E377" s="5" t="inlineStr">
        <is>
          <t>P301</t>
        </is>
      </c>
      <c r="F377" s="5" t="inlineStr">
        <is>
          <t>Audio</t>
        </is>
      </c>
      <c r="G377" s="5" t="n">
        <v>3</v>
      </c>
      <c r="H377" s="51" t="n">
        <v>2999</v>
      </c>
      <c r="I377" s="62" t="n">
        <v>0.1</v>
      </c>
      <c r="J377" s="5" t="inlineStr">
        <is>
          <t>Corporate</t>
        </is>
      </c>
      <c r="K377" s="5" t="inlineStr">
        <is>
          <t>No</t>
        </is>
      </c>
      <c r="L377" s="51">
        <f>G377*H377*(1-I377)</f>
        <v/>
      </c>
      <c r="M377" s="51">
        <f>G377*INDEX(Lookups!$E$3:$E$12,MATCH(E377,Lookups!$A$3:$A$12,0))</f>
        <v/>
      </c>
      <c r="N377" s="51">
        <f>L377-M377</f>
        <v/>
      </c>
      <c r="O377" s="2" t="n"/>
      <c r="P377" s="2" t="n"/>
    </row>
    <row r="378">
      <c r="A378" s="5" t="inlineStr">
        <is>
          <t>ORD-0088</t>
        </is>
      </c>
      <c r="B378" s="50" t="n">
        <v>46286</v>
      </c>
      <c r="C378" s="5" t="inlineStr">
        <is>
          <t>S03</t>
        </is>
      </c>
      <c r="D378" s="5" t="inlineStr">
        <is>
          <t>Delhi</t>
        </is>
      </c>
      <c r="E378" s="5" t="inlineStr">
        <is>
          <t>P401</t>
        </is>
      </c>
      <c r="F378" s="5" t="inlineStr">
        <is>
          <t>Accessories</t>
        </is>
      </c>
      <c r="G378" s="5" t="n">
        <v>1</v>
      </c>
      <c r="H378" s="51" t="n">
        <v>1799</v>
      </c>
      <c r="I378" s="62" t="n">
        <v>0.05</v>
      </c>
      <c r="J378" s="5" t="inlineStr">
        <is>
          <t>Online</t>
        </is>
      </c>
      <c r="K378" s="5" t="inlineStr">
        <is>
          <t>No</t>
        </is>
      </c>
      <c r="L378" s="51">
        <f>G378*H378*(1-I378)</f>
        <v/>
      </c>
      <c r="M378" s="51">
        <f>G378*INDEX(Lookups!$E$3:$E$12,MATCH(E378,Lookups!$A$3:$A$12,0))</f>
        <v/>
      </c>
      <c r="N378" s="51">
        <f>L378-M378</f>
        <v/>
      </c>
      <c r="O378" s="2" t="n"/>
      <c r="P378" s="2" t="n"/>
    </row>
    <row r="379">
      <c r="A379" s="5" t="inlineStr">
        <is>
          <t>ORD-0162</t>
        </is>
      </c>
      <c r="B379" s="50" t="n">
        <v>46286</v>
      </c>
      <c r="C379" s="5" t="inlineStr">
        <is>
          <t>S02</t>
        </is>
      </c>
      <c r="D379" s="5" t="inlineStr">
        <is>
          <t>Pune</t>
        </is>
      </c>
      <c r="E379" s="5" t="inlineStr">
        <is>
          <t>P402</t>
        </is>
      </c>
      <c r="F379" s="5" t="inlineStr">
        <is>
          <t>Accessories</t>
        </is>
      </c>
      <c r="G379" s="5" t="n">
        <v>1</v>
      </c>
      <c r="H379" s="51" t="n">
        <v>1499</v>
      </c>
      <c r="I379" s="62" t="n">
        <v>0</v>
      </c>
      <c r="J379" s="5" t="inlineStr">
        <is>
          <t>Walk-in</t>
        </is>
      </c>
      <c r="K379" s="5" t="inlineStr">
        <is>
          <t>Yes</t>
        </is>
      </c>
      <c r="L379" s="51">
        <f>G379*H379*(1-I379)</f>
        <v/>
      </c>
      <c r="M379" s="51">
        <f>G379*INDEX(Lookups!$E$3:$E$12,MATCH(E379,Lookups!$A$3:$A$12,0))</f>
        <v/>
      </c>
      <c r="N379" s="51">
        <f>L379-M379</f>
        <v/>
      </c>
      <c r="O379" s="2" t="n"/>
      <c r="P379" s="2" t="n"/>
    </row>
    <row r="380">
      <c r="A380" s="5" t="inlineStr">
        <is>
          <t>ORD-0292</t>
        </is>
      </c>
      <c r="B380" s="50" t="n">
        <v>46286</v>
      </c>
      <c r="C380" s="5" t="inlineStr">
        <is>
          <t>S01</t>
        </is>
      </c>
      <c r="D380" s="5" t="inlineStr">
        <is>
          <t>Mumbai</t>
        </is>
      </c>
      <c r="E380" s="5" t="inlineStr">
        <is>
          <t>P101</t>
        </is>
      </c>
      <c r="F380" s="5" t="inlineStr">
        <is>
          <t>Mobiles</t>
        </is>
      </c>
      <c r="G380" s="5" t="n">
        <v>1</v>
      </c>
      <c r="H380" s="51" t="n">
        <v>18999</v>
      </c>
      <c r="I380" s="62" t="n">
        <v>0.05</v>
      </c>
      <c r="J380" s="5" t="inlineStr">
        <is>
          <t>Online</t>
        </is>
      </c>
      <c r="K380" s="5" t="inlineStr">
        <is>
          <t>No</t>
        </is>
      </c>
      <c r="L380" s="51">
        <f>G380*H380*(1-I380)</f>
        <v/>
      </c>
      <c r="M380" s="51">
        <f>G380*INDEX(Lookups!$E$3:$E$12,MATCH(E380,Lookups!$A$3:$A$12,0))</f>
        <v/>
      </c>
      <c r="N380" s="51">
        <f>L380-M380</f>
        <v/>
      </c>
      <c r="O380" s="2" t="n"/>
      <c r="P380" s="2" t="n"/>
    </row>
    <row r="381">
      <c r="A381" s="5" t="inlineStr">
        <is>
          <t>ORD-0337</t>
        </is>
      </c>
      <c r="B381" s="50" t="n">
        <v>46286</v>
      </c>
      <c r="C381" s="5" t="inlineStr">
        <is>
          <t>S01</t>
        </is>
      </c>
      <c r="D381" s="5" t="inlineStr">
        <is>
          <t>Mumbai</t>
        </is>
      </c>
      <c r="E381" s="5" t="inlineStr">
        <is>
          <t>P401</t>
        </is>
      </c>
      <c r="F381" s="5" t="inlineStr">
        <is>
          <t>Accessories</t>
        </is>
      </c>
      <c r="G381" s="5" t="n">
        <v>1</v>
      </c>
      <c r="H381" s="51" t="n">
        <v>1799</v>
      </c>
      <c r="I381" s="62" t="n">
        <v>0.05</v>
      </c>
      <c r="J381" s="5" t="inlineStr">
        <is>
          <t>Corporate</t>
        </is>
      </c>
      <c r="K381" s="5" t="inlineStr">
        <is>
          <t>No</t>
        </is>
      </c>
      <c r="L381" s="51">
        <f>G381*H381*(1-I381)</f>
        <v/>
      </c>
      <c r="M381" s="51">
        <f>G381*INDEX(Lookups!$E$3:$E$12,MATCH(E381,Lookups!$A$3:$A$12,0))</f>
        <v/>
      </c>
      <c r="N381" s="51">
        <f>L381-M381</f>
        <v/>
      </c>
      <c r="O381" s="2" t="n"/>
      <c r="P381" s="2" t="n"/>
    </row>
    <row r="382">
      <c r="A382" s="5" t="inlineStr">
        <is>
          <t>ORD-0002</t>
        </is>
      </c>
      <c r="B382" s="50" t="n">
        <v>46287</v>
      </c>
      <c r="C382" s="5" t="inlineStr">
        <is>
          <t>S04</t>
        </is>
      </c>
      <c r="D382" s="5" t="inlineStr">
        <is>
          <t>Bengaluru</t>
        </is>
      </c>
      <c r="E382" s="5" t="inlineStr">
        <is>
          <t>P102</t>
        </is>
      </c>
      <c r="F382" s="5" t="inlineStr">
        <is>
          <t>Mobiles</t>
        </is>
      </c>
      <c r="G382" s="5" t="n">
        <v>1</v>
      </c>
      <c r="H382" s="51" t="n">
        <v>32999</v>
      </c>
      <c r="I382" s="62" t="n">
        <v>0</v>
      </c>
      <c r="J382" s="5" t="inlineStr">
        <is>
          <t>Corporate</t>
        </is>
      </c>
      <c r="K382" s="5" t="inlineStr">
        <is>
          <t>No</t>
        </is>
      </c>
      <c r="L382" s="51">
        <f>G382*H382*(1-I382)</f>
        <v/>
      </c>
      <c r="M382" s="51">
        <f>G382*INDEX(Lookups!$E$3:$E$12,MATCH(E382,Lookups!$A$3:$A$12,0))</f>
        <v/>
      </c>
      <c r="N382" s="51">
        <f>L382-M382</f>
        <v/>
      </c>
      <c r="O382" s="2" t="n"/>
      <c r="P382" s="2" t="n"/>
    </row>
    <row r="383">
      <c r="A383" s="5" t="inlineStr">
        <is>
          <t>ORD-0024</t>
        </is>
      </c>
      <c r="B383" s="50" t="n">
        <v>46287</v>
      </c>
      <c r="C383" s="5" t="inlineStr">
        <is>
          <t>S04</t>
        </is>
      </c>
      <c r="D383" s="5" t="inlineStr">
        <is>
          <t>Bengaluru</t>
        </is>
      </c>
      <c r="E383" s="5" t="inlineStr">
        <is>
          <t>P102</t>
        </is>
      </c>
      <c r="F383" s="5" t="inlineStr">
        <is>
          <t>Mobiles</t>
        </is>
      </c>
      <c r="G383" s="5" t="n">
        <v>1</v>
      </c>
      <c r="H383" s="51" t="n">
        <v>32999</v>
      </c>
      <c r="I383" s="62" t="n">
        <v>0.1</v>
      </c>
      <c r="J383" s="5" t="inlineStr">
        <is>
          <t>Walk-in</t>
        </is>
      </c>
      <c r="K383" s="5" t="inlineStr">
        <is>
          <t>Yes</t>
        </is>
      </c>
      <c r="L383" s="51">
        <f>G383*H383*(1-I383)</f>
        <v/>
      </c>
      <c r="M383" s="51">
        <f>G383*INDEX(Lookups!$E$3:$E$12,MATCH(E383,Lookups!$A$3:$A$12,0))</f>
        <v/>
      </c>
      <c r="N383" s="51">
        <f>L383-M383</f>
        <v/>
      </c>
      <c r="O383" s="2" t="n"/>
      <c r="P383" s="2" t="n"/>
    </row>
    <row r="384">
      <c r="A384" s="5" t="inlineStr">
        <is>
          <t>ORD-0072</t>
        </is>
      </c>
      <c r="B384" s="50" t="n">
        <v>46287</v>
      </c>
      <c r="C384" s="5" t="inlineStr">
        <is>
          <t>S01</t>
        </is>
      </c>
      <c r="D384" s="5" t="inlineStr">
        <is>
          <t>Mumbai</t>
        </is>
      </c>
      <c r="E384" s="5" t="inlineStr">
        <is>
          <t>P401</t>
        </is>
      </c>
      <c r="F384" s="5" t="inlineStr">
        <is>
          <t>Accessories</t>
        </is>
      </c>
      <c r="G384" s="5" t="n">
        <v>2</v>
      </c>
      <c r="H384" s="51" t="n">
        <v>1799</v>
      </c>
      <c r="I384" s="62" t="n">
        <v>0</v>
      </c>
      <c r="J384" s="5" t="inlineStr">
        <is>
          <t>Walk-in</t>
        </is>
      </c>
      <c r="K384" s="5" t="inlineStr">
        <is>
          <t>Yes</t>
        </is>
      </c>
      <c r="L384" s="51">
        <f>G384*H384*(1-I384)</f>
        <v/>
      </c>
      <c r="M384" s="51">
        <f>G384*INDEX(Lookups!$E$3:$E$12,MATCH(E384,Lookups!$A$3:$A$12,0))</f>
        <v/>
      </c>
      <c r="N384" s="51">
        <f>L384-M384</f>
        <v/>
      </c>
      <c r="O384" s="2" t="n"/>
      <c r="P384" s="2" t="n"/>
    </row>
    <row r="385">
      <c r="A385" s="5" t="inlineStr">
        <is>
          <t>ORD-0342</t>
        </is>
      </c>
      <c r="B385" s="50" t="n">
        <v>46288</v>
      </c>
      <c r="C385" s="5" t="inlineStr">
        <is>
          <t>S03</t>
        </is>
      </c>
      <c r="D385" s="5" t="inlineStr">
        <is>
          <t>Delhi</t>
        </is>
      </c>
      <c r="E385" s="5" t="inlineStr">
        <is>
          <t>P402</t>
        </is>
      </c>
      <c r="F385" s="5" t="inlineStr">
        <is>
          <t>Accessories</t>
        </is>
      </c>
      <c r="G385" s="5" t="n">
        <v>2</v>
      </c>
      <c r="H385" s="51" t="n">
        <v>1499</v>
      </c>
      <c r="I385" s="62" t="n">
        <v>0</v>
      </c>
      <c r="J385" s="5" t="inlineStr">
        <is>
          <t>Corporate</t>
        </is>
      </c>
      <c r="K385" s="5" t="inlineStr">
        <is>
          <t>Yes</t>
        </is>
      </c>
      <c r="L385" s="51">
        <f>G385*H385*(1-I385)</f>
        <v/>
      </c>
      <c r="M385" s="51">
        <f>G385*INDEX(Lookups!$E$3:$E$12,MATCH(E385,Lookups!$A$3:$A$12,0))</f>
        <v/>
      </c>
      <c r="N385" s="51">
        <f>L385-M385</f>
        <v/>
      </c>
      <c r="O385" s="2" t="n"/>
      <c r="P385" s="2" t="n"/>
    </row>
    <row r="386">
      <c r="A386" s="5" t="inlineStr">
        <is>
          <t>ORD-0090</t>
        </is>
      </c>
      <c r="B386" s="50" t="n">
        <v>46289</v>
      </c>
      <c r="C386" s="5" t="inlineStr">
        <is>
          <t>S01</t>
        </is>
      </c>
      <c r="D386" s="5" t="inlineStr">
        <is>
          <t>Mumbai</t>
        </is>
      </c>
      <c r="E386" s="5" t="inlineStr">
        <is>
          <t>P401</t>
        </is>
      </c>
      <c r="F386" s="5" t="inlineStr">
        <is>
          <t>Accessories</t>
        </is>
      </c>
      <c r="G386" s="5" t="n">
        <v>1</v>
      </c>
      <c r="H386" s="51" t="n">
        <v>1799</v>
      </c>
      <c r="I386" s="62" t="n">
        <v>0.05</v>
      </c>
      <c r="J386" s="5" t="inlineStr">
        <is>
          <t>Corporate</t>
        </is>
      </c>
      <c r="K386" s="5" t="inlineStr">
        <is>
          <t>No</t>
        </is>
      </c>
      <c r="L386" s="51">
        <f>G386*H386*(1-I386)</f>
        <v/>
      </c>
      <c r="M386" s="51">
        <f>G386*INDEX(Lookups!$E$3:$E$12,MATCH(E386,Lookups!$A$3:$A$12,0))</f>
        <v/>
      </c>
      <c r="N386" s="51">
        <f>L386-M386</f>
        <v/>
      </c>
      <c r="O386" s="2" t="n"/>
      <c r="P386" s="2" t="n"/>
    </row>
    <row r="387">
      <c r="A387" s="5" t="inlineStr">
        <is>
          <t>ORD-0315</t>
        </is>
      </c>
      <c r="B387" s="50" t="n">
        <v>46289</v>
      </c>
      <c r="C387" s="5" t="inlineStr">
        <is>
          <t>S02</t>
        </is>
      </c>
      <c r="D387" s="5" t="inlineStr">
        <is>
          <t>Pune</t>
        </is>
      </c>
      <c r="E387" s="5" t="inlineStr">
        <is>
          <t>P302</t>
        </is>
      </c>
      <c r="F387" s="5" t="inlineStr">
        <is>
          <t>Audio</t>
        </is>
      </c>
      <c r="G387" s="5" t="n">
        <v>1</v>
      </c>
      <c r="H387" s="51" t="n">
        <v>4499</v>
      </c>
      <c r="I387" s="62" t="n">
        <v>0</v>
      </c>
      <c r="J387" s="5" t="inlineStr">
        <is>
          <t>Corporate</t>
        </is>
      </c>
      <c r="K387" s="5" t="inlineStr">
        <is>
          <t>No</t>
        </is>
      </c>
      <c r="L387" s="51">
        <f>G387*H387*(1-I387)</f>
        <v/>
      </c>
      <c r="M387" s="51">
        <f>G387*INDEX(Lookups!$E$3:$E$12,MATCH(E387,Lookups!$A$3:$A$12,0))</f>
        <v/>
      </c>
      <c r="N387" s="51">
        <f>L387-M387</f>
        <v/>
      </c>
      <c r="O387" s="2" t="n"/>
      <c r="P387" s="2" t="n"/>
    </row>
    <row r="388">
      <c r="A388" s="5" t="inlineStr">
        <is>
          <t>ORD-0371</t>
        </is>
      </c>
      <c r="B388" s="50" t="n">
        <v>46289</v>
      </c>
      <c r="C388" s="5" t="inlineStr">
        <is>
          <t>S03</t>
        </is>
      </c>
      <c r="D388" s="5" t="inlineStr">
        <is>
          <t>Delhi</t>
        </is>
      </c>
      <c r="E388" s="5" t="inlineStr">
        <is>
          <t>P401</t>
        </is>
      </c>
      <c r="F388" s="5" t="inlineStr">
        <is>
          <t>Accessories</t>
        </is>
      </c>
      <c r="G388" s="5" t="n">
        <v>1</v>
      </c>
      <c r="H388" s="51" t="n">
        <v>1799</v>
      </c>
      <c r="I388" s="62" t="n">
        <v>0.1</v>
      </c>
      <c r="J388" s="5" t="inlineStr">
        <is>
          <t>Online</t>
        </is>
      </c>
      <c r="K388" s="5" t="inlineStr">
        <is>
          <t>No</t>
        </is>
      </c>
      <c r="L388" s="51">
        <f>G388*H388*(1-I388)</f>
        <v/>
      </c>
      <c r="M388" s="51">
        <f>G388*INDEX(Lookups!$E$3:$E$12,MATCH(E388,Lookups!$A$3:$A$12,0))</f>
        <v/>
      </c>
      <c r="N388" s="51">
        <f>L388-M388</f>
        <v/>
      </c>
      <c r="O388" s="2" t="n"/>
      <c r="P388" s="2" t="n"/>
    </row>
    <row r="389">
      <c r="A389" s="5" t="inlineStr">
        <is>
          <t>ORD-0133</t>
        </is>
      </c>
      <c r="B389" s="50" t="n">
        <v>46290</v>
      </c>
      <c r="C389" s="5" t="inlineStr">
        <is>
          <t>S01</t>
        </is>
      </c>
      <c r="D389" s="5" t="inlineStr">
        <is>
          <t>Mumbai</t>
        </is>
      </c>
      <c r="E389" s="5" t="inlineStr">
        <is>
          <t>P402</t>
        </is>
      </c>
      <c r="F389" s="5" t="inlineStr">
        <is>
          <t>Accessories</t>
        </is>
      </c>
      <c r="G389" s="5" t="n">
        <v>1</v>
      </c>
      <c r="H389" s="51" t="n">
        <v>1499</v>
      </c>
      <c r="I389" s="62" t="n">
        <v>0.05</v>
      </c>
      <c r="J389" s="5" t="inlineStr">
        <is>
          <t>Corporate</t>
        </is>
      </c>
      <c r="K389" s="5" t="inlineStr">
        <is>
          <t>No</t>
        </is>
      </c>
      <c r="L389" s="51">
        <f>G389*H389*(1-I389)</f>
        <v/>
      </c>
      <c r="M389" s="51">
        <f>G389*INDEX(Lookups!$E$3:$E$12,MATCH(E389,Lookups!$A$3:$A$12,0))</f>
        <v/>
      </c>
      <c r="N389" s="51">
        <f>L389-M389</f>
        <v/>
      </c>
      <c r="O389" s="2" t="n"/>
      <c r="P389" s="2" t="n"/>
    </row>
    <row r="390">
      <c r="A390" s="5" t="inlineStr">
        <is>
          <t>ORD-0095</t>
        </is>
      </c>
      <c r="B390" s="50" t="n">
        <v>46291</v>
      </c>
      <c r="C390" s="5" t="inlineStr">
        <is>
          <t>S01</t>
        </is>
      </c>
      <c r="D390" s="5" t="inlineStr">
        <is>
          <t>Mumbai</t>
        </is>
      </c>
      <c r="E390" s="5" t="inlineStr">
        <is>
          <t>P502</t>
        </is>
      </c>
      <c r="F390" s="5" t="inlineStr">
        <is>
          <t>TV</t>
        </is>
      </c>
      <c r="G390" s="5" t="n">
        <v>1</v>
      </c>
      <c r="H390" s="51" t="n">
        <v>52999</v>
      </c>
      <c r="I390" s="62" t="n">
        <v>0</v>
      </c>
      <c r="J390" s="5" t="inlineStr">
        <is>
          <t>Corporate</t>
        </is>
      </c>
      <c r="K390" s="5" t="inlineStr">
        <is>
          <t>No</t>
        </is>
      </c>
      <c r="L390" s="51">
        <f>G390*H390*(1-I390)</f>
        <v/>
      </c>
      <c r="M390" s="51">
        <f>G390*INDEX(Lookups!$E$3:$E$12,MATCH(E390,Lookups!$A$3:$A$12,0))</f>
        <v/>
      </c>
      <c r="N390" s="51">
        <f>L390-M390</f>
        <v/>
      </c>
      <c r="O390" s="2" t="n"/>
      <c r="P390" s="2" t="n"/>
    </row>
    <row r="391">
      <c r="A391" s="5" t="inlineStr">
        <is>
          <t>ORD-0137</t>
        </is>
      </c>
      <c r="B391" s="50" t="n">
        <v>46291</v>
      </c>
      <c r="C391" s="5" t="inlineStr">
        <is>
          <t>S01</t>
        </is>
      </c>
      <c r="D391" s="5" t="inlineStr">
        <is>
          <t>Mumbai</t>
        </is>
      </c>
      <c r="E391" s="5" t="inlineStr">
        <is>
          <t>P302</t>
        </is>
      </c>
      <c r="F391" s="5" t="inlineStr">
        <is>
          <t>Audio</t>
        </is>
      </c>
      <c r="G391" s="5" t="n">
        <v>2</v>
      </c>
      <c r="H391" s="51" t="n">
        <v>4499</v>
      </c>
      <c r="I391" s="62" t="n">
        <v>0.05</v>
      </c>
      <c r="J391" s="5" t="inlineStr">
        <is>
          <t>Online</t>
        </is>
      </c>
      <c r="K391" s="5" t="inlineStr">
        <is>
          <t>Yes</t>
        </is>
      </c>
      <c r="L391" s="51">
        <f>G391*H391*(1-I391)</f>
        <v/>
      </c>
      <c r="M391" s="51">
        <f>G391*INDEX(Lookups!$E$3:$E$12,MATCH(E391,Lookups!$A$3:$A$12,0))</f>
        <v/>
      </c>
      <c r="N391" s="51">
        <f>L391-M391</f>
        <v/>
      </c>
      <c r="O391" s="2" t="n"/>
      <c r="P391" s="2" t="n"/>
    </row>
    <row r="392">
      <c r="A392" s="5" t="inlineStr">
        <is>
          <t>ORD-0222</t>
        </is>
      </c>
      <c r="B392" s="50" t="n">
        <v>46291</v>
      </c>
      <c r="C392" s="5" t="inlineStr">
        <is>
          <t>S04</t>
        </is>
      </c>
      <c r="D392" s="5" t="inlineStr">
        <is>
          <t>Bengaluru</t>
        </is>
      </c>
      <c r="E392" s="5" t="inlineStr">
        <is>
          <t>P402</t>
        </is>
      </c>
      <c r="F392" s="5" t="inlineStr">
        <is>
          <t>Accessories</t>
        </is>
      </c>
      <c r="G392" s="5" t="n">
        <v>1</v>
      </c>
      <c r="H392" s="51" t="n">
        <v>1499</v>
      </c>
      <c r="I392" s="62" t="n">
        <v>0</v>
      </c>
      <c r="J392" s="5" t="inlineStr">
        <is>
          <t>Online</t>
        </is>
      </c>
      <c r="K392" s="5" t="inlineStr">
        <is>
          <t>No</t>
        </is>
      </c>
      <c r="L392" s="51">
        <f>G392*H392*(1-I392)</f>
        <v/>
      </c>
      <c r="M392" s="51">
        <f>G392*INDEX(Lookups!$E$3:$E$12,MATCH(E392,Lookups!$A$3:$A$12,0))</f>
        <v/>
      </c>
      <c r="N392" s="51">
        <f>L392-M392</f>
        <v/>
      </c>
      <c r="O392" s="2" t="n"/>
      <c r="P392" s="2" t="n"/>
    </row>
    <row r="393">
      <c r="A393" s="5" t="inlineStr">
        <is>
          <t>ORD-0263</t>
        </is>
      </c>
      <c r="B393" s="50" t="n">
        <v>46291</v>
      </c>
      <c r="C393" s="5" t="inlineStr">
        <is>
          <t>S04</t>
        </is>
      </c>
      <c r="D393" s="5" t="inlineStr">
        <is>
          <t>Bengaluru</t>
        </is>
      </c>
      <c r="E393" s="5" t="inlineStr">
        <is>
          <t>P401</t>
        </is>
      </c>
      <c r="F393" s="5" t="inlineStr">
        <is>
          <t>Accessories</t>
        </is>
      </c>
      <c r="G393" s="5" t="n">
        <v>2</v>
      </c>
      <c r="H393" s="51" t="n">
        <v>1799</v>
      </c>
      <c r="I393" s="62" t="n">
        <v>0.1</v>
      </c>
      <c r="J393" s="5" t="inlineStr">
        <is>
          <t>Corporate</t>
        </is>
      </c>
      <c r="K393" s="5" t="inlineStr">
        <is>
          <t>No</t>
        </is>
      </c>
      <c r="L393" s="51">
        <f>G393*H393*(1-I393)</f>
        <v/>
      </c>
      <c r="M393" s="51">
        <f>G393*INDEX(Lookups!$E$3:$E$12,MATCH(E393,Lookups!$A$3:$A$12,0))</f>
        <v/>
      </c>
      <c r="N393" s="51">
        <f>L393-M393</f>
        <v/>
      </c>
      <c r="O393" s="2" t="n"/>
      <c r="P393" s="2" t="n"/>
    </row>
    <row r="394">
      <c r="A394" s="5" t="inlineStr">
        <is>
          <t>ORD-0318</t>
        </is>
      </c>
      <c r="B394" s="50" t="n">
        <v>46291</v>
      </c>
      <c r="C394" s="5" t="inlineStr">
        <is>
          <t>S06</t>
        </is>
      </c>
      <c r="D394" s="5" t="inlineStr">
        <is>
          <t>Gurugram</t>
        </is>
      </c>
      <c r="E394" s="5" t="inlineStr">
        <is>
          <t>P501</t>
        </is>
      </c>
      <c r="F394" s="5" t="inlineStr">
        <is>
          <t>TV</t>
        </is>
      </c>
      <c r="G394" s="5" t="n">
        <v>1</v>
      </c>
      <c r="H394" s="51" t="n">
        <v>32999</v>
      </c>
      <c r="I394" s="62" t="n">
        <v>0.1</v>
      </c>
      <c r="J394" s="5" t="inlineStr">
        <is>
          <t>Walk-in</t>
        </is>
      </c>
      <c r="K394" s="5" t="inlineStr">
        <is>
          <t>No</t>
        </is>
      </c>
      <c r="L394" s="51">
        <f>G394*H394*(1-I394)</f>
        <v/>
      </c>
      <c r="M394" s="51">
        <f>G394*INDEX(Lookups!$E$3:$E$12,MATCH(E394,Lookups!$A$3:$A$12,0))</f>
        <v/>
      </c>
      <c r="N394" s="51">
        <f>L394-M394</f>
        <v/>
      </c>
      <c r="O394" s="2" t="n"/>
      <c r="P394" s="2" t="n"/>
    </row>
    <row r="395">
      <c r="A395" s="5" t="inlineStr">
        <is>
          <t>ORD-0326</t>
        </is>
      </c>
      <c r="B395" s="50" t="n">
        <v>46291</v>
      </c>
      <c r="C395" s="5" t="inlineStr">
        <is>
          <t>S03</t>
        </is>
      </c>
      <c r="D395" s="5" t="inlineStr">
        <is>
          <t>Delhi</t>
        </is>
      </c>
      <c r="E395" s="5" t="inlineStr">
        <is>
          <t>P101</t>
        </is>
      </c>
      <c r="F395" s="5" t="inlineStr">
        <is>
          <t>Mobiles</t>
        </is>
      </c>
      <c r="G395" s="5" t="n">
        <v>1</v>
      </c>
      <c r="H395" s="51" t="n">
        <v>18999</v>
      </c>
      <c r="I395" s="62" t="n">
        <v>0</v>
      </c>
      <c r="J395" s="5" t="inlineStr">
        <is>
          <t>Walk-in</t>
        </is>
      </c>
      <c r="K395" s="5" t="inlineStr">
        <is>
          <t>Yes</t>
        </is>
      </c>
      <c r="L395" s="51">
        <f>G395*H395*(1-I395)</f>
        <v/>
      </c>
      <c r="M395" s="51">
        <f>G395*INDEX(Lookups!$E$3:$E$12,MATCH(E395,Lookups!$A$3:$A$12,0))</f>
        <v/>
      </c>
      <c r="N395" s="51">
        <f>L395-M395</f>
        <v/>
      </c>
      <c r="O395" s="2" t="n"/>
      <c r="P395" s="2" t="n"/>
    </row>
    <row r="396">
      <c r="A396" s="5" t="inlineStr">
        <is>
          <t>ORD-0121</t>
        </is>
      </c>
      <c r="B396" s="50" t="n">
        <v>46292</v>
      </c>
      <c r="C396" s="5" t="inlineStr">
        <is>
          <t>S03</t>
        </is>
      </c>
      <c r="D396" s="5" t="inlineStr">
        <is>
          <t>Delhi</t>
        </is>
      </c>
      <c r="E396" s="5" t="inlineStr">
        <is>
          <t>P401</t>
        </is>
      </c>
      <c r="F396" s="5" t="inlineStr">
        <is>
          <t>Accessories</t>
        </is>
      </c>
      <c r="G396" s="5" t="n">
        <v>1</v>
      </c>
      <c r="H396" s="51" t="n">
        <v>1799</v>
      </c>
      <c r="I396" s="62" t="n">
        <v>0.1</v>
      </c>
      <c r="J396" s="5" t="inlineStr">
        <is>
          <t>Corporate</t>
        </is>
      </c>
      <c r="K396" s="5" t="inlineStr">
        <is>
          <t>No</t>
        </is>
      </c>
      <c r="L396" s="51">
        <f>G396*H396*(1-I396)</f>
        <v/>
      </c>
      <c r="M396" s="51">
        <f>G396*INDEX(Lookups!$E$3:$E$12,MATCH(E396,Lookups!$A$3:$A$12,0))</f>
        <v/>
      </c>
      <c r="N396" s="51">
        <f>L396-M396</f>
        <v/>
      </c>
      <c r="O396" s="2" t="n"/>
      <c r="P396" s="2" t="n"/>
    </row>
    <row r="397">
      <c r="A397" s="5" t="inlineStr">
        <is>
          <t>ORD-0142</t>
        </is>
      </c>
      <c r="B397" s="50" t="n">
        <v>46292</v>
      </c>
      <c r="C397" s="5" t="inlineStr">
        <is>
          <t>S06</t>
        </is>
      </c>
      <c r="D397" s="5" t="inlineStr">
        <is>
          <t>Gurugram</t>
        </is>
      </c>
      <c r="E397" s="5" t="inlineStr">
        <is>
          <t>P501</t>
        </is>
      </c>
      <c r="F397" s="5" t="inlineStr">
        <is>
          <t>TV</t>
        </is>
      </c>
      <c r="G397" s="5" t="n">
        <v>2</v>
      </c>
      <c r="H397" s="51" t="n">
        <v>32999</v>
      </c>
      <c r="I397" s="62" t="n">
        <v>0.05</v>
      </c>
      <c r="J397" s="5" t="inlineStr">
        <is>
          <t>Online</t>
        </is>
      </c>
      <c r="K397" s="5" t="inlineStr">
        <is>
          <t>No</t>
        </is>
      </c>
      <c r="L397" s="51">
        <f>G397*H397*(1-I397)</f>
        <v/>
      </c>
      <c r="M397" s="51">
        <f>G397*INDEX(Lookups!$E$3:$E$12,MATCH(E397,Lookups!$A$3:$A$12,0))</f>
        <v/>
      </c>
      <c r="N397" s="51">
        <f>L397-M397</f>
        <v/>
      </c>
      <c r="O397" s="2" t="n"/>
      <c r="P397" s="2" t="n"/>
    </row>
    <row r="398">
      <c r="A398" s="5" t="inlineStr">
        <is>
          <t>ORD-0216</t>
        </is>
      </c>
      <c r="B398" s="50" t="n">
        <v>46292</v>
      </c>
      <c r="C398" s="5" t="inlineStr">
        <is>
          <t>S03</t>
        </is>
      </c>
      <c r="D398" s="5" t="inlineStr">
        <is>
          <t>Delhi</t>
        </is>
      </c>
      <c r="E398" s="5" t="inlineStr">
        <is>
          <t>P401</t>
        </is>
      </c>
      <c r="F398" s="5" t="inlineStr">
        <is>
          <t>Accessories</t>
        </is>
      </c>
      <c r="G398" s="5" t="n">
        <v>1</v>
      </c>
      <c r="H398" s="51" t="n">
        <v>1799</v>
      </c>
      <c r="I398" s="62" t="n">
        <v>0</v>
      </c>
      <c r="J398" s="5" t="inlineStr">
        <is>
          <t>Online</t>
        </is>
      </c>
      <c r="K398" s="5" t="inlineStr">
        <is>
          <t>No</t>
        </is>
      </c>
      <c r="L398" s="51">
        <f>G398*H398*(1-I398)</f>
        <v/>
      </c>
      <c r="M398" s="51">
        <f>G398*INDEX(Lookups!$E$3:$E$12,MATCH(E398,Lookups!$A$3:$A$12,0))</f>
        <v/>
      </c>
      <c r="N398" s="51">
        <f>L398-M398</f>
        <v/>
      </c>
      <c r="O398" s="2" t="n"/>
      <c r="P398" s="2" t="n"/>
    </row>
    <row r="399">
      <c r="A399" s="5" t="inlineStr">
        <is>
          <t>ORD-0293</t>
        </is>
      </c>
      <c r="B399" s="50" t="n">
        <v>46292</v>
      </c>
      <c r="C399" s="5" t="inlineStr">
        <is>
          <t>S06</t>
        </is>
      </c>
      <c r="D399" s="5" t="inlineStr">
        <is>
          <t>Gurugram</t>
        </is>
      </c>
      <c r="E399" s="5" t="inlineStr">
        <is>
          <t>P302</t>
        </is>
      </c>
      <c r="F399" s="5" t="inlineStr">
        <is>
          <t>Audio</t>
        </is>
      </c>
      <c r="G399" s="5" t="n">
        <v>1</v>
      </c>
      <c r="H399" s="51" t="n">
        <v>4499</v>
      </c>
      <c r="I399" s="62" t="n">
        <v>0</v>
      </c>
      <c r="J399" s="5" t="inlineStr">
        <is>
          <t>Online</t>
        </is>
      </c>
      <c r="K399" s="5" t="inlineStr">
        <is>
          <t>No</t>
        </is>
      </c>
      <c r="L399" s="51">
        <f>G399*H399*(1-I399)</f>
        <v/>
      </c>
      <c r="M399" s="51">
        <f>G399*INDEX(Lookups!$E$3:$E$12,MATCH(E399,Lookups!$A$3:$A$12,0))</f>
        <v/>
      </c>
      <c r="N399" s="51">
        <f>L399-M399</f>
        <v/>
      </c>
      <c r="O399" s="2" t="n"/>
      <c r="P399" s="2" t="n"/>
    </row>
    <row r="400">
      <c r="A400" s="5" t="inlineStr">
        <is>
          <t>ORD-0325</t>
        </is>
      </c>
      <c r="B400" s="50" t="n">
        <v>46292</v>
      </c>
      <c r="C400" s="5" t="inlineStr">
        <is>
          <t>S01</t>
        </is>
      </c>
      <c r="D400" s="5" t="inlineStr">
        <is>
          <t>Mumbai</t>
        </is>
      </c>
      <c r="E400" s="5" t="inlineStr">
        <is>
          <t>P302</t>
        </is>
      </c>
      <c r="F400" s="5" t="inlineStr">
        <is>
          <t>Audio</t>
        </is>
      </c>
      <c r="G400" s="5" t="n">
        <v>1</v>
      </c>
      <c r="H400" s="51" t="n">
        <v>4499</v>
      </c>
      <c r="I400" s="62" t="n">
        <v>0.05</v>
      </c>
      <c r="J400" s="5" t="inlineStr">
        <is>
          <t>Walk-in</t>
        </is>
      </c>
      <c r="K400" s="5" t="inlineStr">
        <is>
          <t>Yes</t>
        </is>
      </c>
      <c r="L400" s="51">
        <f>G400*H400*(1-I400)</f>
        <v/>
      </c>
      <c r="M400" s="51">
        <f>G400*INDEX(Lookups!$E$3:$E$12,MATCH(E400,Lookups!$A$3:$A$12,0))</f>
        <v/>
      </c>
      <c r="N400" s="51">
        <f>L400-M400</f>
        <v/>
      </c>
      <c r="O400" s="2" t="n"/>
      <c r="P400" s="2" t="n"/>
    </row>
    <row r="401">
      <c r="A401" s="5" t="inlineStr">
        <is>
          <t>ORD-0262</t>
        </is>
      </c>
      <c r="B401" s="50" t="n">
        <v>46294</v>
      </c>
      <c r="C401" s="5" t="inlineStr">
        <is>
          <t>S06</t>
        </is>
      </c>
      <c r="D401" s="5" t="inlineStr">
        <is>
          <t>Gurugram</t>
        </is>
      </c>
      <c r="E401" s="5" t="inlineStr">
        <is>
          <t>P401</t>
        </is>
      </c>
      <c r="F401" s="5" t="inlineStr">
        <is>
          <t>Accessories</t>
        </is>
      </c>
      <c r="G401" s="5" t="n">
        <v>1</v>
      </c>
      <c r="H401" s="51" t="n">
        <v>1799</v>
      </c>
      <c r="I401" s="62" t="n">
        <v>0</v>
      </c>
      <c r="J401" s="5" t="inlineStr">
        <is>
          <t>Online</t>
        </is>
      </c>
      <c r="K401" s="5" t="inlineStr">
        <is>
          <t>No</t>
        </is>
      </c>
      <c r="L401" s="51">
        <f>G401*H401*(1-I401)</f>
        <v/>
      </c>
      <c r="M401" s="51">
        <f>G401*INDEX(Lookups!$E$3:$E$12,MATCH(E401,Lookups!$A$3:$A$12,0))</f>
        <v/>
      </c>
      <c r="N401" s="51">
        <f>L401-M401</f>
        <v/>
      </c>
      <c r="O401" s="2" t="n"/>
      <c r="P401" s="2" t="n"/>
    </row>
  </sheetData>
  <autoFilter ref="A1:N40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0" customWidth="1" min="5" max="5"/>
    <col width="2" customWidth="1" min="6" max="6"/>
    <col width="9" customWidth="1" min="7" max="7"/>
    <col width="16" customWidth="1" min="8" max="8"/>
    <col width="11" customWidth="1" min="9" max="9"/>
    <col width="12" customWidth="1" min="10" max="10"/>
    <col width="2" customWidth="1" min="11" max="11"/>
    <col width="11" customWidth="1" min="12" max="12"/>
    <col width="15" customWidth="1" min="13" max="13"/>
    <col width="2" customWidth="1" min="14" max="14"/>
    <col width="13" customWidth="1" min="15" max="15"/>
  </cols>
  <sheetData>
    <row r="1">
      <c r="A1" s="11" t="inlineStr">
        <is>
          <t>Lookup tables used by the formulas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4" t="inlineStr">
        <is>
          <t>ProductID</t>
        </is>
      </c>
      <c r="B2" s="4" t="inlineStr">
        <is>
          <t>ProductName</t>
        </is>
      </c>
      <c r="C2" s="4" t="inlineStr">
        <is>
          <t>Category</t>
        </is>
      </c>
      <c r="D2" s="4" t="inlineStr">
        <is>
          <t>ListPrice</t>
        </is>
      </c>
      <c r="E2" s="4" t="inlineStr">
        <is>
          <t>UnitCost</t>
        </is>
      </c>
      <c r="F2" s="2" t="n"/>
      <c r="G2" s="63" t="inlineStr">
        <is>
          <t>StoreID</t>
        </is>
      </c>
      <c r="H2" s="63" t="inlineStr">
        <is>
          <t>StoreName</t>
        </is>
      </c>
      <c r="I2" s="63" t="inlineStr">
        <is>
          <t>City</t>
        </is>
      </c>
      <c r="J2" s="63" t="inlineStr">
        <is>
          <t>State</t>
        </is>
      </c>
      <c r="K2" s="2" t="n"/>
      <c r="L2" s="63" t="inlineStr">
        <is>
          <t>SalesFrom</t>
        </is>
      </c>
      <c r="M2" s="63" t="inlineStr">
        <is>
          <t>CommissionRate</t>
        </is>
      </c>
      <c r="N2" s="2" t="n"/>
      <c r="O2" s="63" t="inlineStr">
        <is>
          <t>Holidays</t>
        </is>
      </c>
    </row>
    <row r="3">
      <c r="A3" s="5" t="inlineStr">
        <is>
          <t>P101</t>
        </is>
      </c>
      <c r="B3" s="5" t="inlineStr">
        <is>
          <t>Smartphone A</t>
        </is>
      </c>
      <c r="C3" s="5" t="inlineStr">
        <is>
          <t>Mobiles</t>
        </is>
      </c>
      <c r="D3" s="5" t="n">
        <v>18999</v>
      </c>
      <c r="E3" s="5" t="n">
        <v>15200</v>
      </c>
      <c r="F3" s="2" t="n"/>
      <c r="G3" s="5" t="inlineStr">
        <is>
          <t>S01</t>
        </is>
      </c>
      <c r="H3" s="5" t="inlineStr">
        <is>
          <t>Andheri</t>
        </is>
      </c>
      <c r="I3" s="5" t="inlineStr">
        <is>
          <t>Mumbai</t>
        </is>
      </c>
      <c r="J3" s="5" t="inlineStr">
        <is>
          <t>Maharashtra</t>
        </is>
      </c>
      <c r="K3" s="2" t="n"/>
      <c r="L3" s="15" t="n">
        <v>0</v>
      </c>
      <c r="M3" s="64" t="n">
        <v>0.02</v>
      </c>
      <c r="N3" s="2" t="n"/>
      <c r="O3" s="65" t="n">
        <v>46249</v>
      </c>
    </row>
    <row r="4">
      <c r="A4" s="5" t="inlineStr">
        <is>
          <t>P102</t>
        </is>
      </c>
      <c r="B4" s="5" t="inlineStr">
        <is>
          <t>Smartphone B</t>
        </is>
      </c>
      <c r="C4" s="5" t="inlineStr">
        <is>
          <t>Mobiles</t>
        </is>
      </c>
      <c r="D4" s="5" t="n">
        <v>32999</v>
      </c>
      <c r="E4" s="5" t="n">
        <v>27100</v>
      </c>
      <c r="F4" s="2" t="n"/>
      <c r="G4" s="5" t="inlineStr">
        <is>
          <t>S02</t>
        </is>
      </c>
      <c r="H4" s="5" t="inlineStr">
        <is>
          <t>FC Road</t>
        </is>
      </c>
      <c r="I4" s="5" t="inlineStr">
        <is>
          <t>Pune</t>
        </is>
      </c>
      <c r="J4" s="5" t="inlineStr">
        <is>
          <t>Maharashtra</t>
        </is>
      </c>
      <c r="K4" s="2" t="n"/>
      <c r="L4" s="15" t="n">
        <v>100000</v>
      </c>
      <c r="M4" s="64" t="n">
        <v>0.03</v>
      </c>
      <c r="N4" s="2" t="n"/>
      <c r="O4" s="65" t="n">
        <v>46297</v>
      </c>
    </row>
    <row r="5">
      <c r="A5" s="5" t="inlineStr">
        <is>
          <t>P201</t>
        </is>
      </c>
      <c r="B5" s="5" t="inlineStr">
        <is>
          <t>Laptop 14in</t>
        </is>
      </c>
      <c r="C5" s="5" t="inlineStr">
        <is>
          <t>Laptops</t>
        </is>
      </c>
      <c r="D5" s="5" t="n">
        <v>54999</v>
      </c>
      <c r="E5" s="5" t="n">
        <v>47300</v>
      </c>
      <c r="F5" s="2" t="n"/>
      <c r="G5" s="5" t="inlineStr">
        <is>
          <t>S03</t>
        </is>
      </c>
      <c r="H5" s="5" t="inlineStr">
        <is>
          <t>Connaught Place</t>
        </is>
      </c>
      <c r="I5" s="5" t="inlineStr">
        <is>
          <t>Delhi</t>
        </is>
      </c>
      <c r="J5" s="5" t="inlineStr">
        <is>
          <t>Delhi</t>
        </is>
      </c>
      <c r="K5" s="2" t="n"/>
      <c r="L5" s="15" t="n">
        <v>500000</v>
      </c>
      <c r="M5" s="64" t="n">
        <v>0.05</v>
      </c>
      <c r="N5" s="2" t="n"/>
      <c r="O5" s="65" t="n">
        <v>46315</v>
      </c>
    </row>
    <row r="6">
      <c r="A6" s="5" t="inlineStr">
        <is>
          <t>P202</t>
        </is>
      </c>
      <c r="B6" s="5" t="inlineStr">
        <is>
          <t>Laptop Pro 16</t>
        </is>
      </c>
      <c r="C6" s="5" t="inlineStr">
        <is>
          <t>Laptops</t>
        </is>
      </c>
      <c r="D6" s="5" t="n">
        <v>94999</v>
      </c>
      <c r="E6" s="5" t="n">
        <v>81200</v>
      </c>
      <c r="F6" s="2" t="n"/>
      <c r="G6" s="5" t="inlineStr">
        <is>
          <t>S04</t>
        </is>
      </c>
      <c r="H6" s="5" t="inlineStr">
        <is>
          <t>Indiranagar</t>
        </is>
      </c>
      <c r="I6" s="5" t="inlineStr">
        <is>
          <t>Bengaluru</t>
        </is>
      </c>
      <c r="J6" s="5" t="inlineStr">
        <is>
          <t>Karnataka</t>
        </is>
      </c>
      <c r="K6" s="2" t="n"/>
      <c r="L6" s="15" t="n">
        <v>1000000</v>
      </c>
      <c r="M6" s="64" t="n">
        <v>0.07000000000000001</v>
      </c>
      <c r="N6" s="2" t="n"/>
      <c r="O6" s="65" t="n">
        <v>46334</v>
      </c>
    </row>
    <row r="7">
      <c r="A7" s="5" t="inlineStr">
        <is>
          <t>P301</t>
        </is>
      </c>
      <c r="B7" s="5" t="inlineStr">
        <is>
          <t>Wireless Earbuds</t>
        </is>
      </c>
      <c r="C7" s="5" t="inlineStr">
        <is>
          <t>Audio</t>
        </is>
      </c>
      <c r="D7" s="5" t="n">
        <v>2999</v>
      </c>
      <c r="E7" s="5" t="n">
        <v>1650</v>
      </c>
      <c r="F7" s="2" t="n"/>
      <c r="G7" s="5" t="inlineStr">
        <is>
          <t>S05</t>
        </is>
      </c>
      <c r="H7" s="5" t="inlineStr">
        <is>
          <t>T Nagar</t>
        </is>
      </c>
      <c r="I7" s="5" t="inlineStr">
        <is>
          <t>Chennai</t>
        </is>
      </c>
      <c r="J7" s="5" t="inlineStr">
        <is>
          <t>Tamil Nadu</t>
        </is>
      </c>
      <c r="K7" s="2" t="n"/>
      <c r="L7" s="2" t="n"/>
      <c r="M7" s="2" t="n"/>
      <c r="N7" s="2" t="n"/>
      <c r="O7" s="2" t="n"/>
    </row>
    <row r="8">
      <c r="A8" s="5" t="inlineStr">
        <is>
          <t>P302</t>
        </is>
      </c>
      <c r="B8" s="5" t="inlineStr">
        <is>
          <t>Bluetooth Speaker</t>
        </is>
      </c>
      <c r="C8" s="5" t="inlineStr">
        <is>
          <t>Audio</t>
        </is>
      </c>
      <c r="D8" s="5" t="n">
        <v>4499</v>
      </c>
      <c r="E8" s="5" t="n">
        <v>2900</v>
      </c>
      <c r="F8" s="2" t="n"/>
      <c r="G8" s="5" t="inlineStr">
        <is>
          <t>S06</t>
        </is>
      </c>
      <c r="H8" s="5" t="inlineStr">
        <is>
          <t>Cyber Hub</t>
        </is>
      </c>
      <c r="I8" s="5" t="inlineStr">
        <is>
          <t>Gurugram</t>
        </is>
      </c>
      <c r="J8" s="5" t="inlineStr">
        <is>
          <t>Haryana</t>
        </is>
      </c>
      <c r="K8" s="2" t="n"/>
      <c r="L8" s="2" t="n"/>
      <c r="M8" s="2" t="n"/>
      <c r="N8" s="2" t="n"/>
      <c r="O8" s="2" t="n"/>
    </row>
    <row r="9">
      <c r="A9" s="5" t="inlineStr">
        <is>
          <t>P401</t>
        </is>
      </c>
      <c r="B9" s="5" t="inlineStr">
        <is>
          <t>Power Bank 20k</t>
        </is>
      </c>
      <c r="C9" s="5" t="inlineStr">
        <is>
          <t>Accessories</t>
        </is>
      </c>
      <c r="D9" s="5" t="n">
        <v>1799</v>
      </c>
      <c r="E9" s="5" t="n">
        <v>980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5" t="inlineStr">
        <is>
          <t>P402</t>
        </is>
      </c>
      <c r="B10" s="5" t="inlineStr">
        <is>
          <t>Charger 65W</t>
        </is>
      </c>
      <c r="C10" s="5" t="inlineStr">
        <is>
          <t>Accessories</t>
        </is>
      </c>
      <c r="D10" s="5" t="n">
        <v>1499</v>
      </c>
      <c r="E10" s="5" t="n">
        <v>760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5" t="inlineStr">
        <is>
          <t>P501</t>
        </is>
      </c>
      <c r="B11" s="5" t="inlineStr">
        <is>
          <t>Smart TV 43in</t>
        </is>
      </c>
      <c r="C11" s="5" t="inlineStr">
        <is>
          <t>TV</t>
        </is>
      </c>
      <c r="D11" s="5" t="n">
        <v>32999</v>
      </c>
      <c r="E11" s="5" t="n">
        <v>28400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5" t="inlineStr">
        <is>
          <t>P502</t>
        </is>
      </c>
      <c r="B12" s="5" t="inlineStr">
        <is>
          <t>Smart TV 55in</t>
        </is>
      </c>
      <c r="C12" s="5" t="inlineStr">
        <is>
          <t>TV</t>
        </is>
      </c>
      <c r="D12" s="5" t="n">
        <v>52999</v>
      </c>
      <c r="E12" s="5" t="n">
        <v>45100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2026-10-27T03:27:08Z</dcterms:created>
  <dcterms:modified xmlns:dcterms="http://purl.org/dc/terms/" xmlns:xsi="http://www.w3.org/2001/XMLSchema-instance" xsi:type="dcterms:W3CDTF">2026-10-27T03:27:09Z</dcterms:modified>
</cp:coreProperties>
</file>